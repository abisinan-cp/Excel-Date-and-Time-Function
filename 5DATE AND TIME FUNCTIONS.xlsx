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F208CEA-FF7D-4116-A7C2-60E81CDEBF27}" xr6:coauthVersionLast="47" xr6:coauthVersionMax="47" xr10:uidLastSave="{00000000-0000-0000-0000-000000000000}"/>
  <bookViews>
    <workbookView xWindow="-110" yWindow="-110" windowWidth="19420" windowHeight="10300" firstSheet="4" activeTab="8" xr2:uid="{00000000-000D-0000-FFFF-FFFF00000000}"/>
  </bookViews>
  <sheets>
    <sheet name="Intro" sheetId="1" r:id="rId1"/>
    <sheet name="DESCRIPTION" sheetId="3" r:id="rId2"/>
    <sheet name="DATE,DAY,TODAY,NOW" sheetId="13" r:id="rId3"/>
    <sheet name="DESCRIPTION2" sheetId="4" r:id="rId4"/>
    <sheet name="DAY,YEAR,HOUR,MINUTE,.." sheetId="14" r:id="rId5"/>
    <sheet name="DESCRIPTION3 " sheetId="15" r:id="rId6"/>
    <sheet name="NETWORKDAY,EDATE" sheetId="16" r:id="rId7"/>
    <sheet name="OVERALL" sheetId="5" r:id="rId8"/>
    <sheet name="EXCERCIS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" i="9" l="1"/>
  <c r="E18" i="9"/>
  <c r="E19" i="9"/>
  <c r="E20" i="9"/>
  <c r="E21" i="9"/>
  <c r="E22" i="9"/>
  <c r="E23" i="9"/>
  <c r="E24" i="9"/>
  <c r="E25" i="9"/>
  <c r="E26" i="9"/>
  <c r="E17" i="9"/>
  <c r="D18" i="9"/>
  <c r="D19" i="9"/>
  <c r="D20" i="9"/>
  <c r="D21" i="9"/>
  <c r="D22" i="9"/>
  <c r="D23" i="9"/>
  <c r="D24" i="9"/>
  <c r="D25" i="9"/>
  <c r="D26" i="9"/>
  <c r="S11" i="9"/>
  <c r="S13" i="9"/>
  <c r="B18" i="9"/>
  <c r="B19" i="9"/>
  <c r="B20" i="9"/>
  <c r="B21" i="9"/>
  <c r="B22" i="9"/>
  <c r="B23" i="9"/>
  <c r="B24" i="9"/>
  <c r="B25" i="9"/>
  <c r="B26" i="9"/>
  <c r="B17" i="9"/>
  <c r="A18" i="9"/>
  <c r="A26" i="9"/>
  <c r="A25" i="9"/>
  <c r="A19" i="9"/>
  <c r="A20" i="9"/>
  <c r="A21" i="9"/>
  <c r="A22" i="9"/>
  <c r="A23" i="9"/>
  <c r="A24" i="9"/>
  <c r="A17" i="9"/>
  <c r="S23" i="9"/>
  <c r="S21" i="9"/>
  <c r="S19" i="9"/>
  <c r="S9" i="9"/>
  <c r="S7" i="9"/>
  <c r="S5" i="9"/>
  <c r="I15" i="5"/>
  <c r="I16" i="5"/>
  <c r="I17" i="5"/>
  <c r="I14" i="5"/>
  <c r="G15" i="5"/>
  <c r="G16" i="5"/>
  <c r="G17" i="5"/>
  <c r="G14" i="5"/>
  <c r="F5" i="5"/>
  <c r="F6" i="5"/>
  <c r="F7" i="5"/>
  <c r="F4" i="5"/>
  <c r="L5" i="5"/>
  <c r="L6" i="5"/>
  <c r="L7" i="5"/>
  <c r="L8" i="5"/>
  <c r="L4" i="5"/>
  <c r="K5" i="5"/>
  <c r="K6" i="5"/>
  <c r="K7" i="5"/>
  <c r="K8" i="5"/>
  <c r="K4" i="5"/>
  <c r="J5" i="5"/>
  <c r="J6" i="5"/>
  <c r="J7" i="5"/>
  <c r="J8" i="5"/>
  <c r="J4" i="5"/>
  <c r="I5" i="5"/>
  <c r="I6" i="5"/>
  <c r="I7" i="5"/>
  <c r="I8" i="5"/>
  <c r="I4" i="5"/>
  <c r="K4" i="13"/>
  <c r="E5" i="5"/>
  <c r="E6" i="5"/>
  <c r="E7" i="5"/>
  <c r="E4" i="5"/>
  <c r="D5" i="5"/>
  <c r="D6" i="5"/>
  <c r="D7" i="5"/>
  <c r="D4" i="5"/>
  <c r="C5" i="5"/>
  <c r="C6" i="5"/>
  <c r="C7" i="5"/>
  <c r="C4" i="5"/>
  <c r="I6" i="16"/>
  <c r="I7" i="16"/>
  <c r="I8" i="16"/>
  <c r="I9" i="16"/>
  <c r="I10" i="16"/>
  <c r="I11" i="16"/>
  <c r="I12" i="16"/>
  <c r="I13" i="16"/>
  <c r="I14" i="16"/>
  <c r="I5" i="16"/>
  <c r="H6" i="16"/>
  <c r="H7" i="16"/>
  <c r="H8" i="16"/>
  <c r="H9" i="16"/>
  <c r="H10" i="16"/>
  <c r="H11" i="16"/>
  <c r="H12" i="16"/>
  <c r="H13" i="16"/>
  <c r="H14" i="16"/>
  <c r="H5" i="16"/>
  <c r="G14" i="16"/>
  <c r="G6" i="16"/>
  <c r="G7" i="16"/>
  <c r="G8" i="16"/>
  <c r="G9" i="16"/>
  <c r="G10" i="16"/>
  <c r="G11" i="16"/>
  <c r="G12" i="16"/>
  <c r="G13" i="16"/>
  <c r="G5" i="16"/>
  <c r="N8" i="16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4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5" i="14"/>
  <c r="F6" i="14"/>
  <c r="F4" i="14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J15" i="13"/>
  <c r="I15" i="13"/>
  <c r="J5" i="13"/>
  <c r="I5" i="13"/>
  <c r="H1" i="13"/>
  <c r="L1" i="13"/>
  <c r="J6" i="13"/>
  <c r="J7" i="13"/>
  <c r="J8" i="13"/>
  <c r="J9" i="13"/>
  <c r="J10" i="13"/>
  <c r="J11" i="13"/>
  <c r="J12" i="13"/>
  <c r="J13" i="13"/>
  <c r="J14" i="13"/>
  <c r="J16" i="13"/>
  <c r="J17" i="13"/>
  <c r="J18" i="13"/>
  <c r="J4" i="13"/>
  <c r="I6" i="13"/>
  <c r="I7" i="13"/>
  <c r="I8" i="13"/>
  <c r="I9" i="13"/>
  <c r="I10" i="13"/>
  <c r="I11" i="13"/>
  <c r="I12" i="13"/>
  <c r="I13" i="13"/>
  <c r="I14" i="13"/>
  <c r="I16" i="13"/>
  <c r="I17" i="13"/>
  <c r="I18" i="13"/>
  <c r="I4" i="13"/>
  <c r="D23" i="3"/>
  <c r="D22" i="3"/>
  <c r="J1" i="3"/>
  <c r="H1" i="3"/>
</calcChain>
</file>

<file path=xl/sharedStrings.xml><?xml version="1.0" encoding="utf-8"?>
<sst xmlns="http://schemas.openxmlformats.org/spreadsheetml/2006/main" count="157" uniqueCount="129">
  <si>
    <t xml:space="preserve">                                                                DATE AND TIME FUNCTIONS</t>
  </si>
  <si>
    <t>1. NOW()</t>
  </si>
  <si>
    <t>2. TODAY()</t>
  </si>
  <si>
    <t>3.YEAR()</t>
  </si>
  <si>
    <t>4.DAY()</t>
  </si>
  <si>
    <t>5.HOUR()</t>
  </si>
  <si>
    <t xml:space="preserve">6.MINUTE()
</t>
  </si>
  <si>
    <t xml:space="preserve">7.SECOND()
</t>
  </si>
  <si>
    <t>8.TIME ()</t>
  </si>
  <si>
    <t>9.EDATE()</t>
  </si>
  <si>
    <t>YEAR</t>
  </si>
  <si>
    <t>DAY</t>
  </si>
  <si>
    <t>SECOND</t>
  </si>
  <si>
    <t>START DATE</t>
  </si>
  <si>
    <t>ADD MONTH</t>
  </si>
  <si>
    <t>DATA</t>
  </si>
  <si>
    <t>MONTH</t>
  </si>
  <si>
    <t>DATE</t>
  </si>
  <si>
    <t>HOURS</t>
  </si>
  <si>
    <t>MINUTES</t>
  </si>
  <si>
    <t xml:space="preserve">TIME </t>
  </si>
  <si>
    <t>FINAL DATE</t>
  </si>
  <si>
    <t>EXCERCISE</t>
  </si>
  <si>
    <t>Order ID</t>
  </si>
  <si>
    <t>Dispatch Date</t>
  </si>
  <si>
    <t>Delivery Date</t>
  </si>
  <si>
    <t>Dispatch Time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</si>
  <si>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</si>
  <si>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</si>
  <si>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</si>
  <si>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</si>
  <si>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</si>
  <si>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</si>
  <si>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</si>
  <si>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</si>
  <si>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</si>
  <si>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</si>
  <si>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</si>
  <si>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</si>
  <si>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</si>
  <si>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</si>
  <si>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r>
      <rPr>
        <b/>
        <u/>
        <sz val="18"/>
        <color rgb="FFFF0000"/>
        <rFont val="Calibri"/>
        <family val="2"/>
        <scheme val="minor"/>
      </rPr>
      <t>📦</t>
    </r>
    <r>
      <rPr>
        <b/>
        <u/>
        <sz val="18"/>
        <color theme="1"/>
        <rFont val="Calibri"/>
        <family val="2"/>
        <scheme val="minor"/>
      </rPr>
      <t>Logistics Delivery Data</t>
    </r>
  </si>
  <si>
    <t>Year</t>
  </si>
  <si>
    <t>Month</t>
  </si>
  <si>
    <t>Day</t>
  </si>
  <si>
    <t>Hour</t>
  </si>
  <si>
    <t>Minute</t>
  </si>
  <si>
    <t>Second</t>
  </si>
  <si>
    <t>Deadline</t>
  </si>
  <si>
    <t>Dis_Hour</t>
  </si>
  <si>
    <t>Dis_Minute</t>
  </si>
  <si>
    <t>Dis_Second</t>
  </si>
  <si>
    <r>
      <rPr>
        <b/>
        <u/>
        <sz val="18"/>
        <color rgb="FFFF0000"/>
        <rFont val="Calibri"/>
        <family val="2"/>
        <scheme val="minor"/>
      </rPr>
      <t>📦</t>
    </r>
    <r>
      <rPr>
        <b/>
        <u/>
        <sz val="18"/>
        <color theme="1"/>
        <rFont val="Calibri"/>
        <family val="2"/>
        <scheme val="minor"/>
      </rPr>
      <t xml:space="preserve"> Logistics Dispatch Data</t>
    </r>
  </si>
  <si>
    <r>
      <rPr>
        <sz val="11"/>
        <color rgb="FFFF0000"/>
        <rFont val="Calibri"/>
        <family val="2"/>
        <scheme val="minor"/>
      </rPr>
      <t>⏰</t>
    </r>
    <r>
      <rPr>
        <sz val="11"/>
        <color theme="1"/>
        <rFont val="Calibri"/>
        <family val="2"/>
        <scheme val="minor"/>
      </rPr>
      <t xml:space="preserve">Record the </t>
    </r>
    <r>
      <rPr>
        <b/>
        <sz val="11"/>
        <color theme="1"/>
        <rFont val="Calibri"/>
        <family val="2"/>
        <scheme val="minor"/>
      </rPr>
      <t>current date &amp; time</t>
    </r>
    <r>
      <rPr>
        <sz val="11"/>
        <color theme="1"/>
        <rFont val="Calibri"/>
        <family val="2"/>
        <scheme val="minor"/>
      </rPr>
      <t xml:space="preserve"> during dispatch entry(=Now())</t>
    </r>
  </si>
  <si>
    <r>
      <rPr>
        <sz val="11"/>
        <color rgb="FFFF0000"/>
        <rFont val="Calibri"/>
        <family val="2"/>
        <scheme val="minor"/>
      </rPr>
      <t>📅</t>
    </r>
    <r>
      <rPr>
        <sz val="11"/>
        <color theme="1"/>
        <rFont val="Calibri"/>
        <family val="2"/>
        <scheme val="minor"/>
      </rPr>
      <t xml:space="preserve">Calculate how many days are left from </t>
    </r>
    <r>
      <rPr>
        <b/>
        <sz val="11"/>
        <color theme="1"/>
        <rFont val="Calibri"/>
        <family val="2"/>
        <scheme val="minor"/>
      </rPr>
      <t>today to Deadline</t>
    </r>
    <r>
      <rPr>
        <sz val="11"/>
        <color theme="1"/>
        <rFont val="Calibri"/>
        <family val="2"/>
        <scheme val="minor"/>
      </rPr>
      <t xml:space="preserve"> using: </t>
    </r>
    <r>
      <rPr>
        <sz val="10"/>
        <color theme="1"/>
        <rFont val="Arial Unicode MS"/>
        <family val="2"/>
      </rPr>
      <t>=I4 - TODAY()</t>
    </r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</si>
  <si>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</si>
  <si>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</si>
  <si>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</si>
  <si>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</si>
  <si>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</si>
  <si>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</si>
  <si>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</si>
  <si>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</si>
  <si>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</si>
  <si>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</si>
  <si>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</si>
  <si>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</si>
  <si>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</si>
  <si>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</si>
  <si>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</si>
  <si>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Disp_Date</t>
  </si>
  <si>
    <t>Disp_Time</t>
  </si>
  <si>
    <t>Disp_Year</t>
  </si>
  <si>
    <t>Disp_Month</t>
  </si>
  <si>
    <t>Disp_Day</t>
  </si>
  <si>
    <t>Days Left 
today to dead line</t>
  </si>
  <si>
    <r>
      <rPr>
        <sz val="11"/>
        <color rgb="FFFF0000"/>
        <rFont val="Calibri"/>
        <family val="2"/>
        <scheme val="minor"/>
      </rPr>
      <t>⏰</t>
    </r>
    <r>
      <rPr>
        <sz val="11"/>
        <color theme="1"/>
        <rFont val="Calibri"/>
        <family val="2"/>
        <scheme val="minor"/>
      </rPr>
      <t>Current Date&amp; Time:</t>
    </r>
  </si>
  <si>
    <t>10.TEXT</t>
  </si>
  <si>
    <t>Start Date</t>
  </si>
  <si>
    <t>End Date</t>
  </si>
  <si>
    <t>Delivery Term (Months)</t>
  </si>
  <si>
    <t xml:space="preserve">No.of working Days
</t>
  </si>
  <si>
    <t xml:space="preserve">Expected Delivary Date
</t>
  </si>
  <si>
    <r>
      <rPr>
        <sz val="11"/>
        <color rgb="FFFF0000"/>
        <rFont val="Calibri"/>
        <family val="2"/>
        <scheme val="minor"/>
      </rPr>
      <t>📆</t>
    </r>
    <r>
      <rPr>
        <sz val="11"/>
        <color theme="1"/>
        <rFont val="Calibri"/>
        <family val="2"/>
        <scheme val="minor"/>
      </rPr>
      <t xml:space="preserve">Find the number of working days between </t>
    </r>
    <r>
      <rPr>
        <sz val="10"/>
        <color theme="1"/>
        <rFont val="Arial Unicode MS"/>
        <family val="2"/>
      </rPr>
      <t>Start Date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End Date</t>
    </r>
    <r>
      <rPr>
        <sz val="11"/>
        <color theme="1"/>
        <rFont val="Calibri"/>
        <family val="2"/>
        <scheme val="minor"/>
      </rPr>
      <t xml:space="preserve"> for Orders(=NETWORKDAYS)</t>
    </r>
  </si>
  <si>
    <r>
      <rPr>
        <sz val="11"/>
        <color rgb="FFFF0000"/>
        <rFont val="Calibri"/>
        <family val="2"/>
        <scheme val="minor"/>
      </rPr>
      <t>📆</t>
    </r>
    <r>
      <rPr>
        <sz val="11"/>
        <color theme="1"/>
        <rFont val="Calibri"/>
        <family val="2"/>
        <scheme val="minor"/>
      </rPr>
      <t>Calculate the expected delivery date the Months</t>
    </r>
    <r>
      <rPr>
        <b/>
        <sz val="11"/>
        <color theme="1"/>
        <rFont val="Calibri"/>
        <family val="2"/>
        <scheme val="minor"/>
      </rPr>
      <t xml:space="preserve"> after the start</t>
    </r>
    <r>
      <rPr>
        <sz val="11"/>
        <color theme="1"/>
        <rFont val="Calibri"/>
        <family val="2"/>
        <scheme val="minor"/>
      </rPr>
      <t xml:space="preserve"> for Orders(=EDATE)</t>
    </r>
  </si>
  <si>
    <t xml:space="preserve">No.workdays
</t>
  </si>
  <si>
    <r>
      <rPr>
        <sz val="11"/>
        <color rgb="FFFF0000"/>
        <rFont val="Calibri"/>
        <family val="2"/>
        <scheme val="minor"/>
      </rPr>
      <t>📆</t>
    </r>
    <r>
      <rPr>
        <sz val="11"/>
        <color theme="1"/>
        <rFont val="Calibri"/>
        <family val="2"/>
        <scheme val="minor"/>
      </rPr>
      <t xml:space="preserve">Combine Year, Month, Day into a </t>
    </r>
    <r>
      <rPr>
        <b/>
        <sz val="11"/>
        <color theme="1"/>
        <rFont val="Calibri"/>
        <family val="2"/>
        <scheme val="minor"/>
      </rPr>
      <t>Dispatch Date</t>
    </r>
    <r>
      <rPr>
        <sz val="11"/>
        <color theme="1"/>
        <rFont val="Calibri"/>
        <family val="2"/>
        <scheme val="minor"/>
      </rPr>
      <t>(=Date())</t>
    </r>
  </si>
  <si>
    <r>
      <rPr>
        <sz val="11"/>
        <color rgb="FFFF0000"/>
        <rFont val="Calibri"/>
        <family val="2"/>
        <scheme val="minor"/>
      </rPr>
      <t>⏱️</t>
    </r>
    <r>
      <rPr>
        <sz val="11"/>
        <color theme="1"/>
        <rFont val="Calibri"/>
        <family val="2"/>
        <scheme val="minor"/>
      </rPr>
      <t xml:space="preserve">Combine Hour, Minute, Second into </t>
    </r>
    <r>
      <rPr>
        <b/>
        <sz val="11"/>
        <color theme="1"/>
        <rFont val="Calibri"/>
        <family val="2"/>
        <scheme val="minor"/>
      </rPr>
      <t>Dispatch Time</t>
    </r>
    <r>
      <rPr>
        <sz val="11"/>
        <color theme="1"/>
        <rFont val="Calibri"/>
        <family val="2"/>
        <scheme val="minor"/>
      </rPr>
      <t>(=Time())</t>
    </r>
  </si>
  <si>
    <t>Dispatch Year</t>
  </si>
  <si>
    <t>Dispatch Month</t>
  </si>
  <si>
    <t>Dispatch Day</t>
  </si>
  <si>
    <t>Delivery Months</t>
  </si>
  <si>
    <r>
      <t xml:space="preserve">1. Write a formula to return </t>
    </r>
    <r>
      <rPr>
        <b/>
        <sz val="11"/>
        <color theme="1"/>
        <rFont val="Calibri"/>
        <family val="2"/>
        <scheme val="minor"/>
      </rPr>
      <t>today's date</t>
    </r>
    <r>
      <rPr>
        <sz val="11"/>
        <color theme="1"/>
        <rFont val="Calibri"/>
        <family val="2"/>
        <scheme val="minor"/>
      </rPr>
      <t>.</t>
    </r>
  </si>
  <si>
    <r>
      <t xml:space="preserve">2. Write a formula to return the </t>
    </r>
    <r>
      <rPr>
        <b/>
        <sz val="11"/>
        <color theme="1"/>
        <rFont val="Calibri"/>
        <family val="2"/>
        <scheme val="minor"/>
      </rPr>
      <t>current date and time</t>
    </r>
    <r>
      <rPr>
        <sz val="11"/>
        <color theme="1"/>
        <rFont val="Calibri"/>
        <family val="2"/>
        <scheme val="minor"/>
      </rPr>
      <t>.</t>
    </r>
  </si>
  <si>
    <r>
      <t xml:space="preserve">3. Extract the </t>
    </r>
    <r>
      <rPr>
        <b/>
        <sz val="11"/>
        <color theme="1"/>
        <rFont val="Calibri"/>
        <family val="2"/>
        <scheme val="minor"/>
      </rPr>
      <t>year</t>
    </r>
    <r>
      <rPr>
        <sz val="11"/>
        <color theme="1"/>
        <rFont val="Calibri"/>
        <family val="2"/>
        <scheme val="minor"/>
      </rPr>
      <t xml:space="preserve"> from the Delivery Date of Order </t>
    </r>
    <r>
      <rPr>
        <b/>
        <sz val="11"/>
        <color theme="1"/>
        <rFont val="Calibri"/>
        <family val="2"/>
        <scheme val="minor"/>
      </rPr>
      <t>L001</t>
    </r>
    <r>
      <rPr>
        <sz val="11"/>
        <color theme="1"/>
        <rFont val="Calibri"/>
        <family val="2"/>
        <scheme val="minor"/>
      </rPr>
      <t>.</t>
    </r>
  </si>
  <si>
    <r>
      <t xml:space="preserve">4. Construct a full </t>
    </r>
    <r>
      <rPr>
        <b/>
        <sz val="11"/>
        <color theme="1"/>
        <rFont val="Calibri"/>
        <family val="2"/>
        <scheme val="minor"/>
      </rPr>
      <t>Dispatch Date</t>
    </r>
    <r>
      <rPr>
        <sz val="11"/>
        <color theme="1"/>
        <rFont val="Calibri"/>
        <family val="2"/>
        <scheme val="minor"/>
      </rPr>
      <t xml:space="preserve"> using the Year, Month, and Day columns for L001.</t>
    </r>
  </si>
  <si>
    <r>
      <t xml:space="preserve">5. Convert the Dispatch Date of L001 to show the </t>
    </r>
    <r>
      <rPr>
        <b/>
        <sz val="11"/>
        <color theme="1"/>
        <rFont val="Calibri"/>
        <family val="2"/>
        <scheme val="minor"/>
      </rPr>
      <t>month name</t>
    </r>
    <r>
      <rPr>
        <sz val="11"/>
        <color theme="1"/>
        <rFont val="Calibri"/>
        <family val="2"/>
        <scheme val="minor"/>
      </rPr>
      <t xml:space="preserve"> only.</t>
    </r>
  </si>
  <si>
    <r>
      <t xml:space="preserve">6. Add the number of </t>
    </r>
    <r>
      <rPr>
        <b/>
        <sz val="11"/>
        <color theme="1"/>
        <rFont val="Calibri"/>
        <family val="2"/>
        <scheme val="minor"/>
      </rPr>
      <t>Delivery Months</t>
    </r>
    <r>
      <rPr>
        <sz val="11"/>
        <color theme="1"/>
        <rFont val="Calibri"/>
        <family val="2"/>
        <scheme val="minor"/>
      </rPr>
      <t xml:space="preserve"> to Dispatch Date and find the </t>
    </r>
    <r>
      <rPr>
        <b/>
        <sz val="11"/>
        <color theme="1"/>
        <rFont val="Calibri"/>
        <family val="2"/>
        <scheme val="minor"/>
      </rPr>
      <t>estimated delivery date</t>
    </r>
    <r>
      <rPr>
        <sz val="11"/>
        <color theme="1"/>
        <rFont val="Calibri"/>
        <family val="2"/>
        <scheme val="minor"/>
      </rPr>
      <t>.</t>
    </r>
  </si>
  <si>
    <r>
      <t xml:space="preserve">7. Find the number of </t>
    </r>
    <r>
      <rPr>
        <b/>
        <sz val="11"/>
        <color theme="1"/>
        <rFont val="Calibri"/>
        <family val="2"/>
        <scheme val="minor"/>
      </rPr>
      <t>working days</t>
    </r>
    <r>
      <rPr>
        <sz val="11"/>
        <color theme="1"/>
        <rFont val="Calibri"/>
        <family val="2"/>
        <scheme val="minor"/>
      </rPr>
      <t xml:space="preserve"> between Dispatch Date and Delivery Date.</t>
    </r>
  </si>
  <si>
    <r>
      <t xml:space="preserve">8. Extract the </t>
    </r>
    <r>
      <rPr>
        <b/>
        <sz val="11"/>
        <color theme="1"/>
        <rFont val="Calibri"/>
        <family val="2"/>
        <scheme val="minor"/>
      </rPr>
      <t>hour</t>
    </r>
    <r>
      <rPr>
        <sz val="11"/>
        <color theme="1"/>
        <rFont val="Calibri"/>
        <family val="2"/>
        <scheme val="minor"/>
      </rPr>
      <t xml:space="preserve"> from Dispatch Time of Order L001.</t>
    </r>
  </si>
  <si>
    <r>
      <t xml:space="preserve">9. Extract the </t>
    </r>
    <r>
      <rPr>
        <b/>
        <sz val="11"/>
        <color theme="1"/>
        <rFont val="Calibri"/>
        <family val="2"/>
        <scheme val="minor"/>
      </rPr>
      <t>minute</t>
    </r>
    <r>
      <rPr>
        <sz val="11"/>
        <color theme="1"/>
        <rFont val="Calibri"/>
        <family val="2"/>
        <scheme val="minor"/>
      </rPr>
      <t xml:space="preserve"> from Dispatch Time of Order L002.</t>
    </r>
  </si>
  <si>
    <r>
      <t xml:space="preserve">10. Extract the </t>
    </r>
    <r>
      <rPr>
        <b/>
        <sz val="11"/>
        <color theme="1"/>
        <rFont val="Calibri"/>
        <family val="2"/>
        <scheme val="minor"/>
      </rPr>
      <t>second</t>
    </r>
    <r>
      <rPr>
        <sz val="11"/>
        <color theme="1"/>
        <rFont val="Calibri"/>
        <family val="2"/>
        <scheme val="minor"/>
      </rPr>
      <t xml:space="preserve"> from Dispatch Time of Order L003.</t>
    </r>
  </si>
  <si>
    <r>
      <rPr>
        <b/>
        <sz val="18"/>
        <color rgb="FFFF0000"/>
        <rFont val="Calibri"/>
        <family val="2"/>
        <scheme val="minor"/>
      </rPr>
      <t>❓</t>
    </r>
    <r>
      <rPr>
        <b/>
        <sz val="18"/>
        <color theme="1"/>
        <rFont val="Calibri"/>
        <family val="2"/>
        <scheme val="minor"/>
      </rPr>
      <t xml:space="preserve"> Exercise Questions </t>
    </r>
  </si>
  <si>
    <t>1. =TODAY()</t>
  </si>
  <si>
    <t>2. =NOW()</t>
  </si>
  <si>
    <t>3. =YEAR(F2)</t>
  </si>
  <si>
    <t>(F2 = Delivery Date of L001)</t>
  </si>
  <si>
    <t>4. =DATE(B2, C2, D2)</t>
  </si>
  <si>
    <t>(B2 = Year, C2 = Month, D2 = Day)</t>
  </si>
  <si>
    <t>5. =TEXT(DATE(B2, C2, D2), "mmmm")</t>
  </si>
  <si>
    <t>6. =EDATE(DATE(B2, C2, D2), G2)</t>
  </si>
  <si>
    <t>(G2 = Delivery Months)</t>
  </si>
  <si>
    <t>7. =NETWORKDAYS(DATE(B2, C2, D2), F2)</t>
  </si>
  <si>
    <t>8. =HOUR(E2)</t>
  </si>
  <si>
    <t>(E2 = Dispatch Time of L001)</t>
  </si>
  <si>
    <t>9. =MINUTE(E3)</t>
  </si>
  <si>
    <t>(E3 = Dispatch Time of L002)</t>
  </si>
  <si>
    <t>10. =SECOND(E4)</t>
  </si>
  <si>
    <t>(E4 = Dispatch Time of L003)</t>
  </si>
  <si>
    <r>
      <rPr>
        <b/>
        <sz val="18"/>
        <color rgb="FF00B050"/>
        <rFont val="Calibri"/>
        <family val="2"/>
        <scheme val="minor"/>
      </rPr>
      <t>✅</t>
    </r>
    <r>
      <rPr>
        <b/>
        <sz val="18"/>
        <color theme="1"/>
        <rFont val="Calibri"/>
        <family val="2"/>
        <scheme val="minor"/>
      </rPr>
      <t xml:space="preserve"> Answer Key (Solutions)</t>
    </r>
  </si>
  <si>
    <t>11.NETWORKDAYS()</t>
  </si>
  <si>
    <t>12.DATE()</t>
  </si>
  <si>
    <t>L016</t>
  </si>
  <si>
    <t>Text(4m)</t>
  </si>
  <si>
    <t>text 4m</t>
  </si>
  <si>
    <t>3m</t>
  </si>
  <si>
    <t>(=NETWORKDAYS)</t>
  </si>
  <si>
    <t>question 6</t>
  </si>
  <si>
    <t>question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</si>
</sst>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:ss;@"/>
    <numFmt numFmtId="165" formatCode="[$-409]mmmm\ d\,\ yyyy;@"/>
    <numFmt numFmtId="166" formatCode="[$-409]dd/mmm/yy;@"/>
    <numFmt numFmtId="167" formatCode="[$-F800]dddd\,\ mmmm\ dd\,\ yyyy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b/>
      <u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 Unicode MS"/>
      <family val="2"/>
    </font>
    <font>
      <sz val="14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3" fillId="0" borderId="0" xfId="0" applyFont="1">
      <alignment vertical="center"/>
    </xf>
    <xf numFmtId="0" fontId="5" fillId="0" borderId="0" xfId="0" applyFont="1">
      <alignment vertical="center"/>
    </xf>
    <xf numFmtId="0" fontId="11" fillId="0" borderId="4" xfId="0" applyFont="1" applyBorder="1">
      <alignment vertical="center"/>
    </xf>
    <xf numFmtId="0" fontId="11" fillId="0" borderId="3" xfId="0" applyFont="1" applyBorder="1">
      <alignment vertical="center"/>
    </xf>
    <xf numFmtId="0" fontId="11" fillId="0" borderId="0" xfId="0" applyFont="1">
      <alignment vertical="center"/>
    </xf>
    <xf numFmtId="0" fontId="11" fillId="0" borderId="3" xfId="0" applyFont="1" applyBorder="1" applyAlignment="1">
      <alignment vertical="center" wrapText="1"/>
    </xf>
    <xf numFmtId="0" fontId="12" fillId="0" borderId="0" xfId="0" applyFont="1">
      <alignment vertical="center"/>
    </xf>
    <xf numFmtId="0" fontId="11" fillId="0" borderId="0" xfId="0" applyFont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/>
    <xf numFmtId="49" fontId="0" fillId="0" borderId="1" xfId="0" applyNumberFormat="1" applyBorder="1" applyAlignment="1"/>
    <xf numFmtId="0" fontId="0" fillId="0" borderId="0" xfId="0" applyAlignment="1"/>
    <xf numFmtId="22" fontId="0" fillId="0" borderId="0" xfId="0" applyNumberFormat="1">
      <alignment vertical="center"/>
    </xf>
    <xf numFmtId="0" fontId="10" fillId="0" borderId="0" xfId="0" applyFont="1">
      <alignment vertical="center"/>
    </xf>
    <xf numFmtId="0" fontId="4" fillId="0" borderId="0" xfId="0" applyFont="1" applyAlignment="1">
      <alignment vertical="center" wrapText="1"/>
    </xf>
    <xf numFmtId="14" fontId="15" fillId="0" borderId="0" xfId="0" applyNumberFormat="1" applyFont="1" applyAlignment="1">
      <alignment vertical="center" wrapText="1"/>
    </xf>
    <xf numFmtId="22" fontId="15" fillId="0" borderId="0" xfId="0" applyNumberFormat="1" applyFont="1" applyAlignment="1">
      <alignment vertical="center" wrapText="1"/>
    </xf>
    <xf numFmtId="18" fontId="15" fillId="0" borderId="0" xfId="0" applyNumberFormat="1" applyFont="1" applyAlignment="1">
      <alignment vertical="center" wrapText="1"/>
    </xf>
    <xf numFmtId="0" fontId="4" fillId="0" borderId="0" xfId="0" applyFont="1">
      <alignment vertical="center"/>
    </xf>
    <xf numFmtId="0" fontId="17" fillId="0" borderId="0" xfId="0" applyFont="1">
      <alignment vertical="center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19" fontId="4" fillId="0" borderId="1" xfId="0" applyNumberFormat="1" applyFont="1" applyBorder="1" applyAlignment="1">
      <alignment vertical="center" wrapText="1"/>
    </xf>
    <xf numFmtId="0" fontId="4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11" fillId="0" borderId="1" xfId="0" applyFont="1" applyBorder="1">
      <alignment vertical="center"/>
    </xf>
    <xf numFmtId="21" fontId="4" fillId="0" borderId="1" xfId="0" applyNumberFormat="1" applyFont="1" applyBorder="1" applyAlignment="1">
      <alignment vertical="center" wrapText="1"/>
    </xf>
    <xf numFmtId="0" fontId="15" fillId="0" borderId="0" xfId="0" applyFont="1" applyAlignment="1">
      <alignment horizontal="left" vertical="center" indent="1"/>
    </xf>
    <xf numFmtId="0" fontId="16" fillId="0" borderId="1" xfId="0" applyFont="1" applyBorder="1">
      <alignment vertical="center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/>
    <xf numFmtId="49" fontId="6" fillId="3" borderId="1" xfId="0" applyNumberFormat="1" applyFont="1" applyFill="1" applyBorder="1" applyAlignment="1"/>
    <xf numFmtId="14" fontId="0" fillId="3" borderId="1" xfId="0" applyNumberFormat="1" applyFill="1" applyBorder="1" applyAlignment="1"/>
    <xf numFmtId="0" fontId="0" fillId="3" borderId="1" xfId="0" applyFill="1" applyBorder="1" applyAlignment="1"/>
    <xf numFmtId="165" fontId="0" fillId="3" borderId="1" xfId="0" applyNumberFormat="1" applyFill="1" applyBorder="1" applyAlignment="1"/>
    <xf numFmtId="166" fontId="0" fillId="3" borderId="1" xfId="0" applyNumberFormat="1" applyFill="1" applyBorder="1" applyAlignment="1"/>
    <xf numFmtId="167" fontId="0" fillId="3" borderId="1" xfId="0" applyNumberFormat="1" applyFill="1" applyBorder="1" applyAlignment="1"/>
    <xf numFmtId="164" fontId="0" fillId="3" borderId="1" xfId="0" applyNumberFormat="1" applyFill="1" applyBorder="1" applyAlignment="1">
      <alignment horizontal="left"/>
    </xf>
    <xf numFmtId="18" fontId="0" fillId="3" borderId="1" xfId="0" applyNumberFormat="1" applyFill="1" applyBorder="1" applyAlignment="1"/>
    <xf numFmtId="14" fontId="4" fillId="3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14" fontId="0" fillId="0" borderId="0" xfId="0" applyNumberFormat="1">
      <alignment vertical="center"/>
    </xf>
    <xf numFmtId="14" fontId="0" fillId="2" borderId="1" xfId="0" applyNumberFormat="1" applyFill="1" applyBorder="1">
      <alignment vertical="center"/>
    </xf>
    <xf numFmtId="18" fontId="0" fillId="2" borderId="1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22" fontId="0" fillId="2" borderId="0" xfId="0" applyNumberFormat="1" applyFill="1">
      <alignment vertical="center"/>
    </xf>
    <xf numFmtId="0" fontId="4" fillId="2" borderId="1" xfId="0" applyNumberFormat="1" applyFont="1" applyFill="1" applyBorder="1" applyAlignment="1">
      <alignment vertical="center" wrapText="1"/>
    </xf>
    <xf numFmtId="0" fontId="0" fillId="0" borderId="0" xfId="0" applyNumberFormat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0" borderId="0" xfId="0" applyFont="1">
      <alignment vertical="center"/>
    </xf>
    <xf numFmtId="0" fontId="0" fillId="3" borderId="1" xfId="0" applyNumberFormat="1" applyFill="1" applyBorder="1">
      <alignment vertical="center"/>
    </xf>
    <xf numFmtId="14" fontId="0" fillId="4" borderId="0" xfId="0" applyNumberFormat="1" applyFill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14" fontId="0" fillId="5" borderId="0" xfId="0" applyNumberFormat="1" applyFill="1">
      <alignment vertical="center"/>
    </xf>
    <xf numFmtId="22" fontId="0" fillId="5" borderId="0" xfId="0" applyNumberFormat="1" applyFill="1">
      <alignment vertical="center"/>
    </xf>
    <xf numFmtId="0" fontId="5" fillId="5" borderId="0" xfId="0" applyFont="1" applyFill="1">
      <alignment vertical="center"/>
    </xf>
    <xf numFmtId="14" fontId="5" fillId="5" borderId="0" xfId="0" applyNumberFormat="1" applyFont="1" applyFill="1" applyAlignment="1">
      <alignment horizontal="left" vertical="center" indent="1"/>
    </xf>
    <xf numFmtId="0" fontId="0" fillId="5" borderId="0" xfId="0" applyFill="1">
      <alignment vertical="center"/>
    </xf>
    <xf numFmtId="0" fontId="21" fillId="4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4" fillId="0" borderId="0" xfId="0" applyFont="1">
      <alignment vertical="center"/>
    </xf>
    <xf numFmtId="0" fontId="6" fillId="3" borderId="2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wrapText="1"/>
    </xf>
    <xf numFmtId="49" fontId="6" fillId="3" borderId="2" xfId="0" applyNumberFormat="1" applyFont="1" applyFill="1" applyBorder="1" applyAlignment="1">
      <alignment horizontal="center"/>
    </xf>
    <xf numFmtId="49" fontId="6" fillId="3" borderId="3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21" fillId="5" borderId="0" xfId="0" applyFont="1" applyFill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</xdr:row>
      <xdr:rowOff>9525</xdr:rowOff>
    </xdr:from>
    <xdr:to>
      <xdr:col>9</xdr:col>
      <xdr:colOff>408940</xdr:colOff>
      <xdr:row>21</xdr:row>
      <xdr:rowOff>11430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90500" y="200025"/>
          <a:ext cx="5704840" cy="381190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14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NOW()</a:t>
          </a:r>
        </a:p>
        <a:p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Description: Returns the current date and time.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Syntax: =NOW()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Example: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Formula: =NOW()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Output: 2025-01-02 12:34:56 (depends on the current date and time)</a:t>
          </a:r>
        </a:p>
        <a:p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4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TODAY()</a:t>
          </a:r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Description: Returns the current date.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Syntax: =TODAY()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Example: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Formula: =TODAY()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Output: 2025-01-02 (depends on the current date)</a:t>
          </a:r>
        </a:p>
        <a:p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571500</xdr:colOff>
      <xdr:row>1</xdr:row>
      <xdr:rowOff>9525</xdr:rowOff>
    </xdr:from>
    <xdr:to>
      <xdr:col>19</xdr:col>
      <xdr:colOff>171450</xdr:colOff>
      <xdr:row>20</xdr:row>
      <xdr:rowOff>171450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057900" y="200025"/>
          <a:ext cx="5695950" cy="378142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14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3.DATE(year, month, day</a:t>
          </a:r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Creates a valid date (useful for combining separate Y/M/D fields)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Syntax: </a:t>
          </a:r>
          <a:r>
            <a:rPr lang="en-IN" sz="1400" b="0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=DATE(year, month, day)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Formula: =DATE(2025,01,2)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Output:</a:t>
          </a:r>
          <a:r>
            <a:rPr lang="en-IN" sz="14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02-01-2025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800" b="0" u="none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800" b="0" u="none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 u="sng">
              <a:effectLst/>
            </a:rPr>
            <a:t>4.TIME(hour, minute, second)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400" b="1" u="sng">
            <a:effectLst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Creates a time value</a:t>
          </a:r>
        </a:p>
        <a:p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Formula: =TIME(14,30,0) (2:30 PM)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295910</xdr:colOff>
      <xdr:row>1</xdr:row>
      <xdr:rowOff>152400</xdr:rowOff>
    </xdr:from>
    <xdr:to>
      <xdr:col>9</xdr:col>
      <xdr:colOff>514350</xdr:colOff>
      <xdr:row>21</xdr:row>
      <xdr:rowOff>154305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95910" y="342900"/>
          <a:ext cx="5704840" cy="381190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en-IN" sz="14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en-IN" sz="14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HOUR()</a:t>
          </a:r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Description: Extracts the hour from a given time.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Syntax: =HOUR(time)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Example: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Formula: =HOUR("12:34:56")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Output: 12</a:t>
          </a:r>
        </a:p>
        <a:p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en-IN" sz="14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en-IN" sz="14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MINUTE()</a:t>
          </a:r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Description: Extracts the minute from a given time.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Syntax: =MINUTE(time)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Example: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Formula: =MINUTE("12:34:56")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Output: 34</a:t>
          </a:r>
        </a:p>
        <a:p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0</xdr:colOff>
      <xdr:row>2</xdr:row>
      <xdr:rowOff>0</xdr:rowOff>
    </xdr:from>
    <xdr:to>
      <xdr:col>19</xdr:col>
      <xdr:colOff>218440</xdr:colOff>
      <xdr:row>21</xdr:row>
      <xdr:rowOff>161925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6096000" y="381000"/>
          <a:ext cx="5704840" cy="378142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14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8. SECOND()</a:t>
          </a:r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</a:t>
          </a:r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Description: Extracts the second from a given time.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Syntax: =SECOND(time)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Example: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Formula: =SECOND("12:34:56")</a:t>
          </a:r>
        </a:p>
        <a:p>
          <a:r>
            <a:rPr lang="en-IN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Output: 56</a:t>
          </a:r>
        </a:p>
        <a:p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400" b="1" u="sng"/>
            <a:t>9.DAY()</a:t>
          </a:r>
        </a:p>
        <a:p>
          <a:r>
            <a:rPr lang="en-IN" sz="1200"/>
            <a:t>✅</a:t>
          </a:r>
          <a:r>
            <a:rPr lang="en-IN" sz="1400"/>
            <a:t> </a:t>
          </a:r>
          <a:r>
            <a:rPr lang="en-IN" sz="1400" b="1"/>
            <a:t>Description:</a:t>
          </a:r>
          <a:br>
            <a:rPr lang="en-IN" sz="1400"/>
          </a:br>
          <a:r>
            <a:rPr lang="en-IN" sz="1400"/>
            <a:t>Extracts the </a:t>
          </a:r>
          <a:r>
            <a:rPr lang="en-IN" sz="1400" b="1"/>
            <a:t>day (1–31)</a:t>
          </a:r>
          <a:r>
            <a:rPr lang="en-IN" sz="1400"/>
            <a:t> from a given date.</a:t>
          </a:r>
        </a:p>
        <a:p>
          <a:r>
            <a:rPr lang="en-IN" sz="1400"/>
            <a:t> </a:t>
          </a:r>
          <a:r>
            <a:rPr lang="en-IN" sz="1400" b="1"/>
            <a:t>Syntax: =DAY(serial_number)</a:t>
          </a:r>
        </a:p>
        <a:p>
          <a:endParaRPr lang="en-IN" sz="1400" b="1"/>
        </a:p>
        <a:p>
          <a:r>
            <a:rPr lang="en-IN" sz="1400" b="1" u="sng"/>
            <a:t>10.YEAR()</a:t>
          </a:r>
        </a:p>
        <a:p>
          <a:r>
            <a:rPr lang="en-IN" sz="1200"/>
            <a:t>✅</a:t>
          </a:r>
          <a:r>
            <a:rPr lang="en-IN" sz="1400"/>
            <a:t> </a:t>
          </a:r>
          <a:r>
            <a:rPr lang="en-IN" sz="1400" b="1"/>
            <a:t>Description:</a:t>
          </a:r>
          <a:br>
            <a:rPr lang="en-IN" sz="1400"/>
          </a:br>
          <a:r>
            <a:rPr lang="en-IN" sz="1400"/>
            <a:t>Returns the </a:t>
          </a:r>
          <a:r>
            <a:rPr lang="en-IN" sz="1400" b="1"/>
            <a:t>year</a:t>
          </a:r>
          <a:r>
            <a:rPr lang="en-IN" sz="1400"/>
            <a:t> from a given date.</a:t>
          </a:r>
        </a:p>
        <a:p>
          <a:r>
            <a:rPr lang="en-IN" sz="1400"/>
            <a:t> </a:t>
          </a:r>
          <a:r>
            <a:rPr lang="en-IN" sz="1400" b="1"/>
            <a:t>Syntax:</a:t>
          </a:r>
          <a:r>
            <a:rPr lang="en-IN" sz="1400" b="0" baseline="0"/>
            <a:t> </a:t>
          </a:r>
          <a:r>
            <a:rPr lang="en-IN" sz="1400"/>
            <a:t>=YEAR(serial_number)</a:t>
          </a:r>
        </a:p>
        <a:p>
          <a:endParaRPr lang="en-IN" sz="1400"/>
        </a:p>
        <a:p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1</xdr:row>
      <xdr:rowOff>142875</xdr:rowOff>
    </xdr:from>
    <xdr:to>
      <xdr:col>10</xdr:col>
      <xdr:colOff>46990</xdr:colOff>
      <xdr:row>21</xdr:row>
      <xdr:rowOff>144780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DCB609F-D260-49A4-9E43-D530AA2DD8A6}"/>
            </a:ext>
          </a:extLst>
        </xdr:cNvPr>
        <xdr:cNvSpPr txBox="1"/>
      </xdr:nvSpPr>
      <xdr:spPr>
        <a:xfrm>
          <a:off x="438150" y="333375"/>
          <a:ext cx="5704840" cy="381190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1600" b="1" u="sng"/>
            <a:t> 11.NETWORKDAYS(start_date, end_date)</a:t>
          </a:r>
        </a:p>
        <a:p>
          <a:r>
            <a:rPr lang="en-IN" sz="1400" b="1"/>
            <a:t>Description:</a:t>
          </a:r>
          <a:r>
            <a:rPr lang="en-IN" sz="1400"/>
            <a:t>Returns the number of </a:t>
          </a:r>
          <a:r>
            <a:rPr lang="en-IN" sz="1400" b="1"/>
            <a:t>working days</a:t>
          </a:r>
          <a:r>
            <a:rPr lang="en-IN" sz="1400"/>
            <a:t> between two dates (excludes Saturdays and Sundays).</a:t>
          </a:r>
        </a:p>
        <a:p>
          <a:endParaRPr lang="en-IN" sz="14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4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400" b="1" u="sng"/>
            <a:t>12.EDATE(start_date, months)</a:t>
          </a:r>
        </a:p>
        <a:p>
          <a:r>
            <a:rPr lang="en-IN" sz="1400" b="1"/>
            <a:t>Description:</a:t>
          </a:r>
          <a:r>
            <a:rPr lang="en-IN" sz="1400" b="0" baseline="0"/>
            <a:t> </a:t>
          </a:r>
          <a:r>
            <a:rPr lang="en-IN" sz="1400"/>
            <a:t>Returns the same date </a:t>
          </a:r>
          <a:r>
            <a:rPr lang="en-IN" sz="1400" b="1"/>
            <a:t>after or before a given number of months</a:t>
          </a:r>
          <a:r>
            <a:rPr lang="en-IN" sz="1400"/>
            <a:t>.</a:t>
          </a:r>
        </a:p>
        <a:p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Syntax: =EDATE(start_date, months)</a:t>
          </a:r>
          <a:endParaRPr lang="en-IN" sz="1800">
            <a:effectLst/>
          </a:endParaRPr>
        </a:p>
        <a:p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start_date: The initial date.</a:t>
          </a:r>
          <a:endParaRPr lang="en-IN" sz="1800">
            <a:effectLst/>
          </a:endParaRPr>
        </a:p>
        <a:p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months: The number of months before (negative) or after (positive) the start date.</a:t>
          </a:r>
          <a:endParaRPr lang="en-IN" sz="1800">
            <a:effectLst/>
          </a:endParaRPr>
        </a:p>
        <a:p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Example:</a:t>
          </a:r>
          <a:endParaRPr lang="en-IN" sz="1800">
            <a:effectLst/>
          </a:endParaRPr>
        </a:p>
        <a:p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Formula: =EDATE("2025-01-02", 3)</a:t>
          </a:r>
          <a:endParaRPr lang="en-IN" sz="1800">
            <a:effectLst/>
          </a:endParaRPr>
        </a:p>
        <a:p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Output: 2025-04-02 (3 months after the given date)</a:t>
          </a:r>
          <a:endParaRPr lang="en-IN" sz="1800">
            <a:effectLst/>
          </a:endParaRPr>
        </a:p>
        <a:p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Formula: =EDATE("2025-01-02", -3)</a:t>
          </a:r>
          <a:endParaRPr lang="en-IN" sz="1800">
            <a:effectLst/>
          </a:endParaRPr>
        </a:p>
        <a:p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Output: 2024-10-02 (3 months before the given date)</a:t>
          </a:r>
          <a:endParaRPr lang="en-IN" sz="1800">
            <a:effectLst/>
          </a:endParaRPr>
        </a:p>
        <a:p>
          <a:endParaRPr lang="en-IN" sz="1400"/>
        </a:p>
        <a:p>
          <a:endParaRPr lang="en-IN" sz="14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0"/>
  <sheetViews>
    <sheetView zoomScale="120" zoomScaleNormal="120" workbookViewId="0">
      <selection activeCell="D8" sqref="D8"/>
    </sheetView>
  </sheetViews>
  <sheetFormatPr defaultColWidth="9.1796875" defaultRowHeight="14.5"/>
  <cols>
    <col min="4" max="4" width="22.54296875" customWidth="1"/>
    <col min="5" max="5" width="14.7265625" customWidth="1"/>
    <col min="6" max="6" width="13.26953125" customWidth="1"/>
    <col min="7" max="7" width="13" customWidth="1"/>
    <col min="8" max="8" width="19.26953125" customWidth="1"/>
  </cols>
  <sheetData>
    <row r="1" spans="1:12" s="71" customFormat="1" ht="23.5">
      <c r="A1" s="70" t="s">
        <v>0</v>
      </c>
    </row>
    <row r="3" spans="1:12" ht="2.15" customHeight="1"/>
    <row r="4" spans="1:12" ht="33" customHeight="1">
      <c r="C4" s="5"/>
      <c r="D4" s="6" t="s">
        <v>1</v>
      </c>
      <c r="E4" s="6" t="s">
        <v>2</v>
      </c>
      <c r="F4" s="6" t="s">
        <v>3</v>
      </c>
      <c r="G4" s="6" t="s">
        <v>4</v>
      </c>
      <c r="H4" s="6" t="s">
        <v>5</v>
      </c>
    </row>
    <row r="5" spans="1:12" ht="18.5">
      <c r="C5" s="7"/>
      <c r="D5" s="7"/>
      <c r="E5" s="7"/>
      <c r="F5" s="7"/>
      <c r="G5" s="7"/>
      <c r="H5" s="7"/>
    </row>
    <row r="6" spans="1:12" ht="33" customHeight="1">
      <c r="C6" s="5"/>
      <c r="D6" s="8" t="s">
        <v>6</v>
      </c>
      <c r="E6" s="8" t="s">
        <v>7</v>
      </c>
      <c r="F6" s="6" t="s">
        <v>8</v>
      </c>
      <c r="G6" s="6" t="s">
        <v>9</v>
      </c>
      <c r="H6" s="32" t="s">
        <v>77</v>
      </c>
      <c r="I6" s="7"/>
      <c r="J6" s="7"/>
      <c r="K6" s="7"/>
      <c r="L6" s="9"/>
    </row>
    <row r="7" spans="1:12" ht="18.5">
      <c r="I7" s="7"/>
      <c r="J7" s="7"/>
      <c r="K7" s="7"/>
      <c r="L7" s="9"/>
    </row>
    <row r="8" spans="1:12" ht="41.15" customHeight="1">
      <c r="D8" s="35" t="s">
        <v>120</v>
      </c>
      <c r="E8" s="35" t="s">
        <v>121</v>
      </c>
      <c r="I8" s="7"/>
      <c r="J8" s="7"/>
      <c r="K8" s="7"/>
      <c r="L8" s="9"/>
    </row>
    <row r="9" spans="1:12" ht="18.5">
      <c r="C9" s="7"/>
      <c r="D9" s="7"/>
      <c r="E9" s="7"/>
      <c r="F9" s="7"/>
      <c r="G9" s="7"/>
      <c r="H9" s="7"/>
      <c r="I9" s="7"/>
      <c r="J9" s="7"/>
      <c r="K9" s="7"/>
      <c r="L9" s="9"/>
    </row>
    <row r="10" spans="1:12" ht="37" customHeight="1">
      <c r="C10" s="7"/>
      <c r="D10" s="10"/>
      <c r="E10" s="7"/>
      <c r="F10" s="7"/>
      <c r="G10" s="7"/>
      <c r="H10" s="7"/>
      <c r="I10" s="7"/>
      <c r="J10" s="7"/>
      <c r="K10" s="7"/>
      <c r="L10" s="9"/>
    </row>
  </sheetData>
  <mergeCells count="1">
    <mergeCell ref="A1:XF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D1:T23"/>
  <sheetViews>
    <sheetView workbookViewId="0">
      <selection activeCell="D24" sqref="D24"/>
    </sheetView>
  </sheetViews>
  <sheetFormatPr defaultColWidth="9.1796875" defaultRowHeight="14.5"/>
  <cols>
    <col min="4" max="4" width="13.54296875" bestFit="1" customWidth="1"/>
    <col min="8" max="8" width="15.54296875" bestFit="1" customWidth="1"/>
    <col min="10" max="10" width="10.453125" bestFit="1" customWidth="1"/>
    <col min="20" max="20" width="15.54296875" bestFit="1" customWidth="1"/>
  </cols>
  <sheetData>
    <row r="1" spans="8:20">
      <c r="H1" s="15">
        <f ca="1">NOW()</f>
        <v>46211.810369444443</v>
      </c>
      <c r="J1" s="49">
        <f ca="1">TODAY()</f>
        <v>46211</v>
      </c>
    </row>
    <row r="10" spans="8:20">
      <c r="T10" s="15"/>
    </row>
    <row r="22" spans="4:4">
      <c r="D22" s="15">
        <f ca="1">NOW()</f>
        <v>46211.810369444443</v>
      </c>
    </row>
    <row r="23" spans="4:4">
      <c r="D23" s="49">
        <f ca="1">TODAY()</f>
        <v>46211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E028-9135-498B-A46A-677BF7D98CCF}">
  <dimension ref="A1:M18"/>
  <sheetViews>
    <sheetView zoomScale="90" zoomScaleNormal="90" workbookViewId="0">
      <selection activeCell="K5" sqref="K5"/>
    </sheetView>
  </sheetViews>
  <sheetFormatPr defaultRowHeight="14.5"/>
  <cols>
    <col min="2" max="2" width="9.81640625" bestFit="1" customWidth="1"/>
    <col min="3" max="3" width="11.7265625" customWidth="1"/>
    <col min="4" max="4" width="9.1796875" bestFit="1" customWidth="1"/>
    <col min="5" max="5" width="9" bestFit="1" customWidth="1"/>
    <col min="7" max="7" width="11" customWidth="1"/>
    <col min="8" max="8" width="11.1796875" bestFit="1" customWidth="1"/>
    <col min="9" max="9" width="10.453125" bestFit="1" customWidth="1"/>
    <col min="10" max="10" width="10.54296875" customWidth="1"/>
    <col min="11" max="11" width="19.26953125" style="55" customWidth="1"/>
    <col min="12" max="12" width="86.453125" customWidth="1"/>
    <col min="14" max="14" width="68.1796875" customWidth="1"/>
  </cols>
  <sheetData>
    <row r="1" spans="1:13" ht="23.5">
      <c r="C1" s="22" t="s">
        <v>52</v>
      </c>
      <c r="H1" s="49">
        <f ca="1">TODAY()</f>
        <v>46211</v>
      </c>
      <c r="J1" s="72" t="s">
        <v>76</v>
      </c>
      <c r="K1" s="72"/>
      <c r="L1" s="53">
        <f ca="1">NOW()</f>
        <v>46211.810369444443</v>
      </c>
    </row>
    <row r="3" spans="1:13" ht="29">
      <c r="A3" s="23" t="s">
        <v>23</v>
      </c>
      <c r="B3" s="23" t="s">
        <v>72</v>
      </c>
      <c r="C3" s="23" t="s">
        <v>73</v>
      </c>
      <c r="D3" s="23" t="s">
        <v>74</v>
      </c>
      <c r="E3" s="23" t="s">
        <v>49</v>
      </c>
      <c r="F3" s="23" t="s">
        <v>50</v>
      </c>
      <c r="G3" s="23" t="s">
        <v>51</v>
      </c>
      <c r="H3" s="23" t="s">
        <v>48</v>
      </c>
      <c r="I3" s="56" t="s">
        <v>70</v>
      </c>
      <c r="J3" s="29" t="s">
        <v>71</v>
      </c>
      <c r="K3" s="54" t="s">
        <v>75</v>
      </c>
    </row>
    <row r="4" spans="1:13" ht="18.75" customHeight="1">
      <c r="A4" s="24" t="s">
        <v>27</v>
      </c>
      <c r="B4" s="24">
        <v>2026</v>
      </c>
      <c r="C4" s="24">
        <v>6</v>
      </c>
      <c r="D4" s="24">
        <v>28</v>
      </c>
      <c r="E4" s="24">
        <v>8</v>
      </c>
      <c r="F4" s="24">
        <v>16</v>
      </c>
      <c r="G4" s="24">
        <v>0</v>
      </c>
      <c r="H4" s="25">
        <v>46295</v>
      </c>
      <c r="I4" s="50">
        <f>DATE(B4,C4,D4)</f>
        <v>46201</v>
      </c>
      <c r="J4" s="51">
        <f>TIME(E4,F4,G4)</f>
        <v>0.34444444444444444</v>
      </c>
      <c r="K4" s="50">
        <f ca="1">H4-TODAY()</f>
        <v>84</v>
      </c>
      <c r="L4" s="17" t="s">
        <v>86</v>
      </c>
      <c r="M4" s="20"/>
    </row>
    <row r="5" spans="1:13" ht="18.75" customHeight="1">
      <c r="A5" s="24" t="s">
        <v>28</v>
      </c>
      <c r="B5" s="24">
        <v>2026</v>
      </c>
      <c r="C5" s="24">
        <v>6</v>
      </c>
      <c r="D5" s="24">
        <v>27</v>
      </c>
      <c r="E5" s="24">
        <v>9</v>
      </c>
      <c r="F5" s="24">
        <v>46</v>
      </c>
      <c r="G5" s="24">
        <v>30</v>
      </c>
      <c r="H5" s="25">
        <v>46296</v>
      </c>
      <c r="I5" s="50">
        <f>DATE(B6,C6,D6)</f>
        <v>46199</v>
      </c>
      <c r="J5" s="51">
        <f>TIME(E6,F6,G6)</f>
        <v>0.29166666666666669</v>
      </c>
      <c r="K5" s="52">
        <f t="shared" ref="K5:K18" ca="1" si="0">H5-TODAY()</f>
        <v>85</v>
      </c>
      <c r="L5" s="17" t="s">
        <v>87</v>
      </c>
      <c r="M5" s="18"/>
    </row>
    <row r="6" spans="1:13" ht="18.75" customHeight="1">
      <c r="A6" s="24" t="s">
        <v>29</v>
      </c>
      <c r="B6" s="24">
        <v>2026</v>
      </c>
      <c r="C6" s="24">
        <v>6</v>
      </c>
      <c r="D6" s="24">
        <v>26</v>
      </c>
      <c r="E6" s="24">
        <v>7</v>
      </c>
      <c r="F6" s="24">
        <v>0</v>
      </c>
      <c r="G6" s="24">
        <v>0</v>
      </c>
      <c r="H6" s="25">
        <v>46297</v>
      </c>
      <c r="I6" s="50">
        <f t="shared" ref="I6:I18" si="1">DATE(B6,C6,D6)</f>
        <v>46199</v>
      </c>
      <c r="J6" s="51">
        <f t="shared" ref="J6:J18" si="2">TIME(E6,F6,G6)</f>
        <v>0.29166666666666669</v>
      </c>
      <c r="K6" s="52">
        <f t="shared" ca="1" si="0"/>
        <v>86</v>
      </c>
      <c r="L6" s="17" t="s">
        <v>54</v>
      </c>
      <c r="M6" s="19"/>
    </row>
    <row r="7" spans="1:13">
      <c r="A7" s="24" t="s">
        <v>30</v>
      </c>
      <c r="B7" s="24">
        <v>2026</v>
      </c>
      <c r="C7" s="24">
        <v>6</v>
      </c>
      <c r="D7" s="24">
        <v>26</v>
      </c>
      <c r="E7" s="24">
        <v>6</v>
      </c>
      <c r="F7" s="24">
        <v>30</v>
      </c>
      <c r="G7" s="24">
        <v>46</v>
      </c>
      <c r="H7" s="25">
        <v>46298</v>
      </c>
      <c r="I7" s="50">
        <f t="shared" si="1"/>
        <v>46199</v>
      </c>
      <c r="J7" s="51">
        <f t="shared" si="2"/>
        <v>0.27136574074074077</v>
      </c>
      <c r="K7" s="52">
        <f t="shared" ca="1" si="0"/>
        <v>87</v>
      </c>
      <c r="L7" s="17" t="s">
        <v>53</v>
      </c>
    </row>
    <row r="8" spans="1:13">
      <c r="A8" s="24" t="s">
        <v>32</v>
      </c>
      <c r="B8" s="24">
        <v>2026</v>
      </c>
      <c r="C8" s="24">
        <v>6</v>
      </c>
      <c r="D8" s="24">
        <v>24</v>
      </c>
      <c r="E8" s="24">
        <v>10</v>
      </c>
      <c r="F8" s="24">
        <v>10</v>
      </c>
      <c r="G8" s="24">
        <v>0</v>
      </c>
      <c r="H8" s="25">
        <v>46299</v>
      </c>
      <c r="I8" s="50">
        <f t="shared" si="1"/>
        <v>46197</v>
      </c>
      <c r="J8" s="51">
        <f t="shared" si="2"/>
        <v>0.4236111111111111</v>
      </c>
      <c r="K8" s="52">
        <f t="shared" ca="1" si="0"/>
        <v>88</v>
      </c>
    </row>
    <row r="9" spans="1:13">
      <c r="A9" s="24" t="s">
        <v>32</v>
      </c>
      <c r="B9" s="24">
        <v>2026</v>
      </c>
      <c r="C9" s="24">
        <v>6</v>
      </c>
      <c r="D9" s="24">
        <v>23</v>
      </c>
      <c r="E9" s="24">
        <v>8</v>
      </c>
      <c r="F9" s="24">
        <v>66</v>
      </c>
      <c r="G9" s="24">
        <v>20</v>
      </c>
      <c r="H9" s="25">
        <v>46301</v>
      </c>
      <c r="I9" s="50">
        <f t="shared" si="1"/>
        <v>46196</v>
      </c>
      <c r="J9" s="51">
        <f t="shared" si="2"/>
        <v>0.37939814814814815</v>
      </c>
      <c r="K9" s="52">
        <f t="shared" ca="1" si="0"/>
        <v>90</v>
      </c>
    </row>
    <row r="10" spans="1:13">
      <c r="A10" s="24" t="s">
        <v>33</v>
      </c>
      <c r="B10" s="24">
        <v>2026</v>
      </c>
      <c r="C10" s="24">
        <v>6</v>
      </c>
      <c r="D10" s="24">
        <v>22</v>
      </c>
      <c r="E10" s="24">
        <v>9</v>
      </c>
      <c r="F10" s="24">
        <v>30</v>
      </c>
      <c r="G10" s="24">
        <v>16</v>
      </c>
      <c r="H10" s="25">
        <v>46301</v>
      </c>
      <c r="I10" s="50">
        <f t="shared" si="1"/>
        <v>46195</v>
      </c>
      <c r="J10" s="51">
        <f t="shared" si="2"/>
        <v>0.39601851851851849</v>
      </c>
      <c r="K10" s="52">
        <f t="shared" ca="1" si="0"/>
        <v>90</v>
      </c>
    </row>
    <row r="11" spans="1:13">
      <c r="A11" s="24" t="s">
        <v>34</v>
      </c>
      <c r="B11" s="24">
        <v>2026</v>
      </c>
      <c r="C11" s="24">
        <v>6</v>
      </c>
      <c r="D11" s="24">
        <v>21</v>
      </c>
      <c r="E11" s="24">
        <v>7</v>
      </c>
      <c r="F11" s="24">
        <v>46</v>
      </c>
      <c r="G11" s="24">
        <v>0</v>
      </c>
      <c r="H11" s="25">
        <v>46302</v>
      </c>
      <c r="I11" s="50">
        <f t="shared" si="1"/>
        <v>46194</v>
      </c>
      <c r="J11" s="51">
        <f t="shared" si="2"/>
        <v>0.32361111111111113</v>
      </c>
      <c r="K11" s="52">
        <f t="shared" ca="1" si="0"/>
        <v>91</v>
      </c>
    </row>
    <row r="12" spans="1:13">
      <c r="A12" s="24" t="s">
        <v>35</v>
      </c>
      <c r="B12" s="24">
        <v>2026</v>
      </c>
      <c r="C12" s="24">
        <v>6</v>
      </c>
      <c r="D12" s="24">
        <v>20</v>
      </c>
      <c r="E12" s="24">
        <v>6</v>
      </c>
      <c r="F12" s="24">
        <v>16</v>
      </c>
      <c r="G12" s="24">
        <v>30</v>
      </c>
      <c r="H12" s="25">
        <v>46303</v>
      </c>
      <c r="I12" s="50">
        <f t="shared" si="1"/>
        <v>46193</v>
      </c>
      <c r="J12" s="51">
        <f t="shared" si="2"/>
        <v>0.26145833333333335</v>
      </c>
      <c r="K12" s="52">
        <f t="shared" ca="1" si="0"/>
        <v>92</v>
      </c>
    </row>
    <row r="13" spans="1:13">
      <c r="A13" s="24" t="s">
        <v>36</v>
      </c>
      <c r="B13" s="24">
        <v>2026</v>
      </c>
      <c r="C13" s="24">
        <v>6</v>
      </c>
      <c r="D13" s="24">
        <v>19</v>
      </c>
      <c r="E13" s="24">
        <v>8</v>
      </c>
      <c r="F13" s="24">
        <v>20</v>
      </c>
      <c r="G13" s="24">
        <v>46</v>
      </c>
      <c r="H13" s="25">
        <v>46304</v>
      </c>
      <c r="I13" s="50">
        <f t="shared" si="1"/>
        <v>46192</v>
      </c>
      <c r="J13" s="51">
        <f t="shared" si="2"/>
        <v>0.34775462962962961</v>
      </c>
      <c r="K13" s="52">
        <f t="shared" ca="1" si="0"/>
        <v>93</v>
      </c>
    </row>
    <row r="14" spans="1:13">
      <c r="A14" s="24" t="s">
        <v>37</v>
      </c>
      <c r="B14" s="24">
        <v>2026</v>
      </c>
      <c r="C14" s="24">
        <v>6</v>
      </c>
      <c r="D14" s="24">
        <v>18</v>
      </c>
      <c r="E14" s="24">
        <v>10</v>
      </c>
      <c r="F14" s="24">
        <v>6</v>
      </c>
      <c r="G14" s="24">
        <v>0</v>
      </c>
      <c r="H14" s="25">
        <v>46305</v>
      </c>
      <c r="I14" s="50">
        <f t="shared" si="1"/>
        <v>46191</v>
      </c>
      <c r="J14" s="51">
        <f t="shared" si="2"/>
        <v>0.42083333333333334</v>
      </c>
      <c r="K14" s="52">
        <f t="shared" ca="1" si="0"/>
        <v>94</v>
      </c>
    </row>
    <row r="15" spans="1:13">
      <c r="A15" s="24" t="s">
        <v>38</v>
      </c>
      <c r="B15" s="24">
        <v>2026</v>
      </c>
      <c r="C15" s="24">
        <v>6</v>
      </c>
      <c r="D15" s="24">
        <v>17</v>
      </c>
      <c r="E15" s="24">
        <v>9</v>
      </c>
      <c r="F15" s="24">
        <v>0</v>
      </c>
      <c r="G15" s="24">
        <v>30</v>
      </c>
      <c r="H15" s="25">
        <v>46306</v>
      </c>
      <c r="I15" s="50">
        <f>DATE(B16,C16,D16)</f>
        <v>46189</v>
      </c>
      <c r="J15" s="51">
        <f>TIME(E16,F16,G16)</f>
        <v>0.3125</v>
      </c>
      <c r="K15" s="52">
        <f t="shared" ca="1" si="0"/>
        <v>95</v>
      </c>
    </row>
    <row r="16" spans="1:13">
      <c r="A16" s="24" t="s">
        <v>39</v>
      </c>
      <c r="B16" s="24">
        <v>2026</v>
      </c>
      <c r="C16" s="24">
        <v>6</v>
      </c>
      <c r="D16" s="24">
        <v>16</v>
      </c>
      <c r="E16" s="24">
        <v>7</v>
      </c>
      <c r="F16" s="24">
        <v>30</v>
      </c>
      <c r="G16" s="24">
        <v>0</v>
      </c>
      <c r="H16" s="25">
        <v>46307</v>
      </c>
      <c r="I16" s="50">
        <f t="shared" si="1"/>
        <v>46189</v>
      </c>
      <c r="J16" s="51">
        <f t="shared" si="2"/>
        <v>0.3125</v>
      </c>
      <c r="K16" s="52">
        <f t="shared" ca="1" si="0"/>
        <v>96</v>
      </c>
    </row>
    <row r="17" spans="1:11">
      <c r="A17" s="24" t="s">
        <v>40</v>
      </c>
      <c r="B17" s="24">
        <v>2026</v>
      </c>
      <c r="C17" s="24">
        <v>6</v>
      </c>
      <c r="D17" s="24">
        <v>16</v>
      </c>
      <c r="E17" s="24">
        <v>6</v>
      </c>
      <c r="F17" s="24">
        <v>60</v>
      </c>
      <c r="G17" s="24">
        <v>16</v>
      </c>
      <c r="H17" s="25">
        <v>46308</v>
      </c>
      <c r="I17" s="50">
        <f t="shared" si="1"/>
        <v>46189</v>
      </c>
      <c r="J17" s="51">
        <f t="shared" si="2"/>
        <v>0.29185185185185186</v>
      </c>
      <c r="K17" s="52">
        <f t="shared" ca="1" si="0"/>
        <v>97</v>
      </c>
    </row>
    <row r="18" spans="1:11">
      <c r="A18" s="24" t="s">
        <v>122</v>
      </c>
      <c r="B18" s="24">
        <v>2026</v>
      </c>
      <c r="C18" s="24">
        <v>6</v>
      </c>
      <c r="D18" s="24">
        <v>14</v>
      </c>
      <c r="E18" s="24">
        <v>9</v>
      </c>
      <c r="F18" s="24">
        <v>10</v>
      </c>
      <c r="G18" s="24">
        <v>40</v>
      </c>
      <c r="H18" s="25">
        <v>46309</v>
      </c>
      <c r="I18" s="50">
        <f t="shared" si="1"/>
        <v>46187</v>
      </c>
      <c r="J18" s="51">
        <f t="shared" si="2"/>
        <v>0.38240740740740742</v>
      </c>
      <c r="K18" s="52">
        <f t="shared" ca="1" si="0"/>
        <v>98</v>
      </c>
    </row>
  </sheetData>
  <mergeCells count="1">
    <mergeCell ref="J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zoomScale="80" zoomScaleNormal="80" workbookViewId="0">
      <selection activeCell="V16" sqref="V16"/>
    </sheetView>
  </sheetViews>
  <sheetFormatPr defaultColWidth="9.1796875" defaultRowHeight="14.5"/>
  <sheetData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8FC8F-5635-4B6F-A39D-A1C3160C827F}">
  <dimension ref="C1:O18"/>
  <sheetViews>
    <sheetView topLeftCell="A4" workbookViewId="0">
      <selection activeCell="M3" sqref="M3"/>
    </sheetView>
  </sheetViews>
  <sheetFormatPr defaultRowHeight="14.5"/>
  <cols>
    <col min="3" max="3" width="8.453125" bestFit="1" customWidth="1"/>
    <col min="4" max="4" width="10.453125" bestFit="1" customWidth="1"/>
    <col min="5" max="5" width="11.54296875" bestFit="1" customWidth="1"/>
    <col min="12" max="12" width="11.6328125" customWidth="1"/>
  </cols>
  <sheetData>
    <row r="1" spans="3:15" ht="23.5">
      <c r="C1" s="22" t="s">
        <v>41</v>
      </c>
    </row>
    <row r="3" spans="3:15" ht="29">
      <c r="C3" s="23" t="s">
        <v>23</v>
      </c>
      <c r="D3" s="23" t="s">
        <v>24</v>
      </c>
      <c r="E3" s="23" t="s">
        <v>26</v>
      </c>
      <c r="F3" s="29" t="s">
        <v>44</v>
      </c>
      <c r="G3" s="29" t="s">
        <v>42</v>
      </c>
      <c r="H3" s="29" t="s">
        <v>43</v>
      </c>
      <c r="I3" s="29" t="s">
        <v>45</v>
      </c>
      <c r="J3" s="29" t="s">
        <v>46</v>
      </c>
      <c r="K3" s="29" t="s">
        <v>47</v>
      </c>
      <c r="L3" s="57" t="s">
        <v>123</v>
      </c>
      <c r="M3" s="30" t="s">
        <v>124</v>
      </c>
      <c r="N3" s="58" t="s">
        <v>125</v>
      </c>
      <c r="O3" s="58" t="s">
        <v>125</v>
      </c>
    </row>
    <row r="4" spans="3:15">
      <c r="C4" s="24" t="s">
        <v>55</v>
      </c>
      <c r="D4" s="25">
        <v>45444</v>
      </c>
      <c r="E4" s="28">
        <v>0.34375</v>
      </c>
      <c r="F4" s="30">
        <f>DAY(D4)</f>
        <v>1</v>
      </c>
      <c r="G4" s="30">
        <f>YEAR(D4)</f>
        <v>2024</v>
      </c>
      <c r="H4" s="30">
        <f>MONTH(D4)</f>
        <v>6</v>
      </c>
      <c r="I4" s="30">
        <f>HOUR(E4)</f>
        <v>8</v>
      </c>
      <c r="J4" s="30">
        <f>MINUTE(E4)</f>
        <v>15</v>
      </c>
      <c r="K4" s="30">
        <f>SECOND(E4)</f>
        <v>0</v>
      </c>
      <c r="L4" s="30" t="str">
        <f>TEXT(D4,"mmmm")</f>
        <v>June</v>
      </c>
      <c r="M4" s="30" t="str">
        <f>TEXT(D4,"dddd")</f>
        <v>Saturday</v>
      </c>
      <c r="N4" t="str">
        <f>TEXT(D4,"mmm")</f>
        <v>Jun</v>
      </c>
      <c r="O4" t="str">
        <f>TEXT(D4,"DDD")</f>
        <v>Sat</v>
      </c>
    </row>
    <row r="5" spans="3:15">
      <c r="C5" s="24" t="s">
        <v>56</v>
      </c>
      <c r="D5" s="25">
        <v>45810</v>
      </c>
      <c r="E5" s="28">
        <v>0.39606481481481487</v>
      </c>
      <c r="F5" s="30">
        <f t="shared" ref="F5:F16" si="0">DAY(D5)</f>
        <v>2</v>
      </c>
      <c r="G5" s="30">
        <f t="shared" ref="G5:G18" si="1">YEAR(D5)</f>
        <v>2025</v>
      </c>
      <c r="H5" s="30">
        <f t="shared" ref="H5:H18" si="2">MONTH(D5)</f>
        <v>6</v>
      </c>
      <c r="I5" s="30">
        <f t="shared" ref="I5:I18" si="3">HOUR(E5)</f>
        <v>9</v>
      </c>
      <c r="J5" s="30">
        <f t="shared" ref="J5:J18" si="4">MINUTE(E5)</f>
        <v>30</v>
      </c>
      <c r="K5" s="30">
        <f t="shared" ref="K5:K18" si="5">SECOND(E5)</f>
        <v>20</v>
      </c>
      <c r="L5" s="30" t="str">
        <f t="shared" ref="L5:L18" si="6">TEXT(D5,"mmmm")</f>
        <v>June</v>
      </c>
      <c r="M5" s="30" t="str">
        <f t="shared" ref="M5:M18" si="7">TEXT(D5,"dddd")</f>
        <v>Monday</v>
      </c>
      <c r="N5" t="str">
        <f t="shared" ref="N5:N18" si="8">TEXT(D5,"mmm")</f>
        <v>Jun</v>
      </c>
      <c r="O5" t="str">
        <f t="shared" ref="O5:O18" si="9">TEXT(D5,"DDD")</f>
        <v>Mon</v>
      </c>
    </row>
    <row r="6" spans="3:15">
      <c r="C6" s="24" t="s">
        <v>57</v>
      </c>
      <c r="D6" s="25">
        <v>44715</v>
      </c>
      <c r="E6" s="28">
        <v>0.29166666666666669</v>
      </c>
      <c r="F6" s="30">
        <f t="shared" si="0"/>
        <v>3</v>
      </c>
      <c r="G6" s="30">
        <f t="shared" si="1"/>
        <v>2022</v>
      </c>
      <c r="H6" s="30">
        <f t="shared" si="2"/>
        <v>6</v>
      </c>
      <c r="I6" s="30">
        <f t="shared" si="3"/>
        <v>7</v>
      </c>
      <c r="J6" s="30">
        <f t="shared" si="4"/>
        <v>0</v>
      </c>
      <c r="K6" s="30">
        <f t="shared" si="5"/>
        <v>0</v>
      </c>
      <c r="L6" s="30" t="str">
        <f t="shared" si="6"/>
        <v>June</v>
      </c>
      <c r="M6" s="30" t="str">
        <f t="shared" si="7"/>
        <v>Friday</v>
      </c>
      <c r="N6" t="str">
        <f t="shared" si="8"/>
        <v>Jun</v>
      </c>
      <c r="O6" t="str">
        <f t="shared" si="9"/>
        <v>Fri</v>
      </c>
    </row>
    <row r="7" spans="3:15">
      <c r="C7" s="24" t="s">
        <v>58</v>
      </c>
      <c r="D7" s="25">
        <v>45812</v>
      </c>
      <c r="E7" s="28">
        <v>0.28136574074074078</v>
      </c>
      <c r="F7" s="30">
        <f t="shared" si="0"/>
        <v>4</v>
      </c>
      <c r="G7" s="30">
        <f t="shared" si="1"/>
        <v>2025</v>
      </c>
      <c r="H7" s="30">
        <f t="shared" si="2"/>
        <v>6</v>
      </c>
      <c r="I7" s="30">
        <f t="shared" si="3"/>
        <v>6</v>
      </c>
      <c r="J7" s="30">
        <f t="shared" si="4"/>
        <v>45</v>
      </c>
      <c r="K7" s="30">
        <f t="shared" si="5"/>
        <v>10</v>
      </c>
      <c r="L7" s="30" t="str">
        <f t="shared" si="6"/>
        <v>June</v>
      </c>
      <c r="M7" s="30" t="str">
        <f t="shared" si="7"/>
        <v>Wednesday</v>
      </c>
      <c r="N7" t="str">
        <f t="shared" si="8"/>
        <v>Jun</v>
      </c>
      <c r="O7" t="str">
        <f t="shared" si="9"/>
        <v>Wed</v>
      </c>
    </row>
    <row r="8" spans="3:15">
      <c r="C8" s="24" t="s">
        <v>59</v>
      </c>
      <c r="D8" s="25">
        <v>45813</v>
      </c>
      <c r="E8" s="28">
        <v>0.41666666666666669</v>
      </c>
      <c r="F8" s="30">
        <f t="shared" si="0"/>
        <v>5</v>
      </c>
      <c r="G8" s="30">
        <f t="shared" si="1"/>
        <v>2025</v>
      </c>
      <c r="H8" s="30">
        <f t="shared" si="2"/>
        <v>6</v>
      </c>
      <c r="I8" s="30">
        <f t="shared" si="3"/>
        <v>10</v>
      </c>
      <c r="J8" s="30">
        <f t="shared" si="4"/>
        <v>0</v>
      </c>
      <c r="K8" s="30">
        <f t="shared" si="5"/>
        <v>0</v>
      </c>
      <c r="L8" s="30" t="str">
        <f t="shared" si="6"/>
        <v>June</v>
      </c>
      <c r="M8" s="30" t="str">
        <f t="shared" si="7"/>
        <v>Thursday</v>
      </c>
      <c r="N8" t="str">
        <f t="shared" si="8"/>
        <v>Jun</v>
      </c>
      <c r="O8" t="str">
        <f t="shared" si="9"/>
        <v>Thu</v>
      </c>
    </row>
    <row r="9" spans="3:15">
      <c r="C9" s="24" t="s">
        <v>60</v>
      </c>
      <c r="D9" s="25">
        <v>45814</v>
      </c>
      <c r="E9" s="28">
        <v>0.4758680555555555</v>
      </c>
      <c r="F9" s="30">
        <f t="shared" si="0"/>
        <v>6</v>
      </c>
      <c r="G9" s="30">
        <f t="shared" si="1"/>
        <v>2025</v>
      </c>
      <c r="H9" s="30">
        <f t="shared" si="2"/>
        <v>6</v>
      </c>
      <c r="I9" s="30">
        <f t="shared" si="3"/>
        <v>11</v>
      </c>
      <c r="J9" s="30">
        <f t="shared" si="4"/>
        <v>25</v>
      </c>
      <c r="K9" s="30">
        <f t="shared" si="5"/>
        <v>15</v>
      </c>
      <c r="L9" s="30" t="str">
        <f t="shared" si="6"/>
        <v>June</v>
      </c>
      <c r="M9" s="30" t="str">
        <f t="shared" si="7"/>
        <v>Friday</v>
      </c>
      <c r="N9" t="str">
        <f t="shared" si="8"/>
        <v>Jun</v>
      </c>
      <c r="O9" t="str">
        <f t="shared" si="9"/>
        <v>Fri</v>
      </c>
    </row>
    <row r="10" spans="3:15">
      <c r="C10" s="24" t="s">
        <v>61</v>
      </c>
      <c r="D10" s="25">
        <v>45815</v>
      </c>
      <c r="E10" s="28">
        <v>0.52083333333333337</v>
      </c>
      <c r="F10" s="30">
        <f t="shared" si="0"/>
        <v>7</v>
      </c>
      <c r="G10" s="30">
        <f t="shared" si="1"/>
        <v>2025</v>
      </c>
      <c r="H10" s="30">
        <f t="shared" si="2"/>
        <v>6</v>
      </c>
      <c r="I10" s="30">
        <f t="shared" si="3"/>
        <v>12</v>
      </c>
      <c r="J10" s="30">
        <f t="shared" si="4"/>
        <v>30</v>
      </c>
      <c r="K10" s="30">
        <f t="shared" si="5"/>
        <v>0</v>
      </c>
      <c r="L10" s="30" t="str">
        <f t="shared" si="6"/>
        <v>June</v>
      </c>
      <c r="M10" s="30" t="str">
        <f t="shared" si="7"/>
        <v>Saturday</v>
      </c>
      <c r="N10" t="str">
        <f t="shared" si="8"/>
        <v>Jun</v>
      </c>
      <c r="O10" t="str">
        <f t="shared" si="9"/>
        <v>Sat</v>
      </c>
    </row>
    <row r="11" spans="3:15">
      <c r="C11" s="24" t="s">
        <v>62</v>
      </c>
      <c r="D11" s="25">
        <v>44355</v>
      </c>
      <c r="E11" s="28">
        <v>0.54913194444444446</v>
      </c>
      <c r="F11" s="30">
        <f t="shared" si="0"/>
        <v>8</v>
      </c>
      <c r="G11" s="30">
        <f t="shared" si="1"/>
        <v>2021</v>
      </c>
      <c r="H11" s="30">
        <f t="shared" si="2"/>
        <v>6</v>
      </c>
      <c r="I11" s="30">
        <f t="shared" si="3"/>
        <v>13</v>
      </c>
      <c r="J11" s="30">
        <f t="shared" si="4"/>
        <v>10</v>
      </c>
      <c r="K11" s="30">
        <f t="shared" si="5"/>
        <v>45</v>
      </c>
      <c r="L11" s="30" t="str">
        <f t="shared" si="6"/>
        <v>June</v>
      </c>
      <c r="M11" s="30" t="str">
        <f t="shared" si="7"/>
        <v>Tuesday</v>
      </c>
      <c r="N11" t="str">
        <f t="shared" si="8"/>
        <v>Jun</v>
      </c>
      <c r="O11" t="str">
        <f t="shared" si="9"/>
        <v>Tue</v>
      </c>
    </row>
    <row r="12" spans="3:15">
      <c r="C12" s="24" t="s">
        <v>63</v>
      </c>
      <c r="D12" s="25">
        <v>45086</v>
      </c>
      <c r="E12" s="28">
        <v>0.58333333333333337</v>
      </c>
      <c r="F12" s="30">
        <f t="shared" si="0"/>
        <v>9</v>
      </c>
      <c r="G12" s="30">
        <f t="shared" si="1"/>
        <v>2023</v>
      </c>
      <c r="H12" s="30">
        <f t="shared" si="2"/>
        <v>6</v>
      </c>
      <c r="I12" s="30">
        <f t="shared" si="3"/>
        <v>14</v>
      </c>
      <c r="J12" s="30">
        <f t="shared" si="4"/>
        <v>0</v>
      </c>
      <c r="K12" s="30">
        <f t="shared" si="5"/>
        <v>0</v>
      </c>
      <c r="L12" s="30" t="str">
        <f t="shared" si="6"/>
        <v>June</v>
      </c>
      <c r="M12" s="30" t="str">
        <f t="shared" si="7"/>
        <v>Friday</v>
      </c>
      <c r="N12" t="str">
        <f t="shared" si="8"/>
        <v>Jun</v>
      </c>
      <c r="O12" t="str">
        <f t="shared" si="9"/>
        <v>Fri</v>
      </c>
    </row>
    <row r="13" spans="3:15">
      <c r="C13" s="24" t="s">
        <v>64</v>
      </c>
      <c r="D13" s="25">
        <v>45818</v>
      </c>
      <c r="E13" s="28">
        <v>0.63576388888888891</v>
      </c>
      <c r="F13" s="30">
        <f t="shared" si="0"/>
        <v>10</v>
      </c>
      <c r="G13" s="30">
        <f t="shared" si="1"/>
        <v>2025</v>
      </c>
      <c r="H13" s="30">
        <f t="shared" si="2"/>
        <v>6</v>
      </c>
      <c r="I13" s="30">
        <f t="shared" si="3"/>
        <v>15</v>
      </c>
      <c r="J13" s="30">
        <f t="shared" si="4"/>
        <v>15</v>
      </c>
      <c r="K13" s="30">
        <f t="shared" si="5"/>
        <v>30</v>
      </c>
      <c r="L13" s="30" t="str">
        <f t="shared" si="6"/>
        <v>June</v>
      </c>
      <c r="M13" s="30" t="str">
        <f t="shared" si="7"/>
        <v>Tuesday</v>
      </c>
      <c r="N13" t="str">
        <f t="shared" si="8"/>
        <v>Jun</v>
      </c>
      <c r="O13" t="str">
        <f t="shared" si="9"/>
        <v>Tue</v>
      </c>
    </row>
    <row r="14" spans="3:15">
      <c r="C14" s="24" t="s">
        <v>65</v>
      </c>
      <c r="D14" s="25">
        <v>44358</v>
      </c>
      <c r="E14" s="28">
        <v>0.69791666666666663</v>
      </c>
      <c r="F14" s="30">
        <f t="shared" si="0"/>
        <v>11</v>
      </c>
      <c r="G14" s="30">
        <f t="shared" si="1"/>
        <v>2021</v>
      </c>
      <c r="H14" s="30">
        <f t="shared" si="2"/>
        <v>6</v>
      </c>
      <c r="I14" s="30">
        <f t="shared" si="3"/>
        <v>16</v>
      </c>
      <c r="J14" s="30">
        <f t="shared" si="4"/>
        <v>45</v>
      </c>
      <c r="K14" s="30">
        <f t="shared" si="5"/>
        <v>0</v>
      </c>
      <c r="L14" s="30" t="str">
        <f t="shared" si="6"/>
        <v>June</v>
      </c>
      <c r="M14" s="30" t="str">
        <f t="shared" si="7"/>
        <v>Friday</v>
      </c>
      <c r="N14" t="str">
        <f t="shared" si="8"/>
        <v>Jun</v>
      </c>
      <c r="O14" t="str">
        <f t="shared" si="9"/>
        <v>Fri</v>
      </c>
    </row>
    <row r="15" spans="3:15">
      <c r="C15" s="24" t="s">
        <v>66</v>
      </c>
      <c r="D15" s="25">
        <v>43994</v>
      </c>
      <c r="E15" s="28">
        <v>0.71556712962962965</v>
      </c>
      <c r="F15" s="30">
        <f t="shared" si="0"/>
        <v>12</v>
      </c>
      <c r="G15" s="30">
        <f t="shared" si="1"/>
        <v>2020</v>
      </c>
      <c r="H15" s="30">
        <f t="shared" si="2"/>
        <v>6</v>
      </c>
      <c r="I15" s="30">
        <f t="shared" si="3"/>
        <v>17</v>
      </c>
      <c r="J15" s="30">
        <f t="shared" si="4"/>
        <v>10</v>
      </c>
      <c r="K15" s="30">
        <f t="shared" si="5"/>
        <v>25</v>
      </c>
      <c r="L15" s="30" t="str">
        <f t="shared" si="6"/>
        <v>June</v>
      </c>
      <c r="M15" s="30" t="str">
        <f t="shared" si="7"/>
        <v>Friday</v>
      </c>
      <c r="N15" t="str">
        <f t="shared" si="8"/>
        <v>Jun</v>
      </c>
      <c r="O15" t="str">
        <f t="shared" si="9"/>
        <v>Fri</v>
      </c>
    </row>
    <row r="16" spans="3:15">
      <c r="C16" s="24" t="s">
        <v>67</v>
      </c>
      <c r="D16" s="25">
        <v>43995</v>
      </c>
      <c r="E16" s="28">
        <v>0.77430555555555547</v>
      </c>
      <c r="F16" s="30">
        <f t="shared" si="0"/>
        <v>13</v>
      </c>
      <c r="G16" s="30">
        <f t="shared" si="1"/>
        <v>2020</v>
      </c>
      <c r="H16" s="30">
        <f t="shared" si="2"/>
        <v>6</v>
      </c>
      <c r="I16" s="30">
        <f t="shared" si="3"/>
        <v>18</v>
      </c>
      <c r="J16" s="30">
        <f t="shared" si="4"/>
        <v>35</v>
      </c>
      <c r="K16" s="30">
        <f t="shared" si="5"/>
        <v>0</v>
      </c>
      <c r="L16" s="30" t="str">
        <f t="shared" si="6"/>
        <v>June</v>
      </c>
      <c r="M16" s="30" t="str">
        <f t="shared" si="7"/>
        <v>Saturday</v>
      </c>
      <c r="N16" t="str">
        <f t="shared" si="8"/>
        <v>Jun</v>
      </c>
      <c r="O16" t="str">
        <f t="shared" si="9"/>
        <v>Sat</v>
      </c>
    </row>
    <row r="17" spans="3:15">
      <c r="C17" s="24" t="s">
        <v>68</v>
      </c>
      <c r="D17" s="25">
        <v>43265</v>
      </c>
      <c r="E17" s="28">
        <v>0.82650462962962967</v>
      </c>
      <c r="F17" s="30">
        <f>DAY(D17)</f>
        <v>14</v>
      </c>
      <c r="G17" s="30">
        <f t="shared" si="1"/>
        <v>2018</v>
      </c>
      <c r="H17" s="30">
        <f t="shared" si="2"/>
        <v>6</v>
      </c>
      <c r="I17" s="30">
        <f t="shared" si="3"/>
        <v>19</v>
      </c>
      <c r="J17" s="30">
        <f t="shared" si="4"/>
        <v>50</v>
      </c>
      <c r="K17" s="30">
        <f t="shared" si="5"/>
        <v>10</v>
      </c>
      <c r="L17" s="30" t="str">
        <f t="shared" si="6"/>
        <v>June</v>
      </c>
      <c r="M17" s="30" t="str">
        <f t="shared" si="7"/>
        <v>Thursday</v>
      </c>
      <c r="N17" t="str">
        <f t="shared" si="8"/>
        <v>Jun</v>
      </c>
      <c r="O17" t="str">
        <f t="shared" si="9"/>
        <v>Thu</v>
      </c>
    </row>
    <row r="18" spans="3:15">
      <c r="C18" s="24" t="s">
        <v>69</v>
      </c>
      <c r="D18" s="25">
        <v>45823</v>
      </c>
      <c r="E18" s="28">
        <v>0.83715277777777775</v>
      </c>
      <c r="F18" s="30">
        <f>DAY(D18)</f>
        <v>15</v>
      </c>
      <c r="G18" s="30">
        <f t="shared" si="1"/>
        <v>2025</v>
      </c>
      <c r="H18" s="30">
        <f t="shared" si="2"/>
        <v>6</v>
      </c>
      <c r="I18" s="30">
        <f t="shared" si="3"/>
        <v>20</v>
      </c>
      <c r="J18" s="30">
        <f t="shared" si="4"/>
        <v>5</v>
      </c>
      <c r="K18" s="30">
        <f t="shared" si="5"/>
        <v>30</v>
      </c>
      <c r="L18" s="30" t="str">
        <f t="shared" si="6"/>
        <v>June</v>
      </c>
      <c r="M18" s="30" t="str">
        <f t="shared" si="7"/>
        <v>Sunday</v>
      </c>
      <c r="N18" t="str">
        <f t="shared" si="8"/>
        <v>Jun</v>
      </c>
      <c r="O18" t="str">
        <f t="shared" si="9"/>
        <v>Sun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CAF8A-9FF2-45F1-97A9-4AA3C22D99E5}">
  <dimension ref="A1"/>
  <sheetViews>
    <sheetView zoomScale="90" zoomScaleNormal="90" workbookViewId="0">
      <selection activeCell="M9" sqref="M9"/>
    </sheetView>
  </sheetViews>
  <sheetFormatPr defaultColWidth="9.1796875" defaultRowHeight="14.5"/>
  <sheetData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EC64-2210-4790-83FA-DBC50FDBB60B}">
  <dimension ref="C1:N14"/>
  <sheetViews>
    <sheetView zoomScale="90" zoomScaleNormal="90" workbookViewId="0">
      <selection activeCell="I5" sqref="I5:I14"/>
    </sheetView>
  </sheetViews>
  <sheetFormatPr defaultRowHeight="14.5"/>
  <cols>
    <col min="3" max="3" width="8.453125" bestFit="1" customWidth="1"/>
    <col min="4" max="5" width="10.453125" bestFit="1" customWidth="1"/>
    <col min="6" max="6" width="8.81640625" bestFit="1" customWidth="1"/>
    <col min="8" max="8" width="10.453125" bestFit="1" customWidth="1"/>
    <col min="9" max="9" width="11.7265625" customWidth="1"/>
  </cols>
  <sheetData>
    <row r="1" spans="3:14" ht="23.5">
      <c r="C1" s="22" t="s">
        <v>41</v>
      </c>
    </row>
    <row r="4" spans="3:14" ht="58">
      <c r="C4" s="23" t="s">
        <v>23</v>
      </c>
      <c r="D4" s="23" t="s">
        <v>78</v>
      </c>
      <c r="E4" s="23" t="s">
        <v>79</v>
      </c>
      <c r="F4" s="23" t="s">
        <v>80</v>
      </c>
      <c r="G4" s="31" t="s">
        <v>81</v>
      </c>
      <c r="H4" s="31" t="s">
        <v>82</v>
      </c>
    </row>
    <row r="5" spans="3:14">
      <c r="C5" s="24" t="s">
        <v>27</v>
      </c>
      <c r="D5" s="25">
        <v>45809</v>
      </c>
      <c r="E5" s="25">
        <v>45818</v>
      </c>
      <c r="F5" s="24">
        <v>2</v>
      </c>
      <c r="G5" s="30">
        <f>NETWORKDAYS(D5,E5)</f>
        <v>7</v>
      </c>
      <c r="H5" s="50">
        <f>EDATE(D5,-1)</f>
        <v>45778</v>
      </c>
      <c r="I5" s="49">
        <f>EDATE(D5,-1)</f>
        <v>45778</v>
      </c>
      <c r="K5" s="59" t="s">
        <v>83</v>
      </c>
    </row>
    <row r="6" spans="3:14">
      <c r="C6" s="24" t="s">
        <v>28</v>
      </c>
      <c r="D6" s="25">
        <v>45811</v>
      </c>
      <c r="E6" s="25">
        <v>45822</v>
      </c>
      <c r="F6" s="24">
        <v>1</v>
      </c>
      <c r="G6" s="30">
        <f t="shared" ref="G6:G13" si="0">NETWORKDAYS(D6,E6)</f>
        <v>9</v>
      </c>
      <c r="H6" s="50">
        <f t="shared" ref="H6:H14" si="1">EDATE(D6,-1)</f>
        <v>45780</v>
      </c>
      <c r="I6" s="49">
        <f t="shared" ref="I6:I14" si="2">EDATE(D6,-1)</f>
        <v>45780</v>
      </c>
      <c r="K6" s="21" t="s">
        <v>84</v>
      </c>
    </row>
    <row r="7" spans="3:14" ht="23.5">
      <c r="C7" s="24" t="s">
        <v>29</v>
      </c>
      <c r="D7" s="25">
        <v>45813</v>
      </c>
      <c r="E7" s="25">
        <v>45828</v>
      </c>
      <c r="F7" s="24">
        <v>3</v>
      </c>
      <c r="G7" s="30">
        <f t="shared" si="0"/>
        <v>12</v>
      </c>
      <c r="H7" s="50">
        <f t="shared" si="1"/>
        <v>45782</v>
      </c>
      <c r="I7" s="49">
        <f t="shared" si="2"/>
        <v>45782</v>
      </c>
      <c r="J7" s="22"/>
    </row>
    <row r="8" spans="3:14">
      <c r="C8" s="24" t="s">
        <v>30</v>
      </c>
      <c r="D8" s="25">
        <v>45816</v>
      </c>
      <c r="E8" s="25">
        <v>45830</v>
      </c>
      <c r="F8" s="24">
        <v>1</v>
      </c>
      <c r="G8" s="30">
        <f t="shared" si="0"/>
        <v>10</v>
      </c>
      <c r="H8" s="50">
        <f t="shared" si="1"/>
        <v>45785</v>
      </c>
      <c r="I8" s="49">
        <f t="shared" si="2"/>
        <v>45785</v>
      </c>
      <c r="K8" t="s">
        <v>126</v>
      </c>
      <c r="N8">
        <f>NETWORKDAYS(D5,E5)</f>
        <v>7</v>
      </c>
    </row>
    <row r="9" spans="3:14">
      <c r="C9" s="24" t="s">
        <v>31</v>
      </c>
      <c r="D9" s="25">
        <v>45818</v>
      </c>
      <c r="E9" s="25">
        <v>45833</v>
      </c>
      <c r="F9" s="24">
        <v>4</v>
      </c>
      <c r="G9" s="30">
        <f t="shared" si="0"/>
        <v>12</v>
      </c>
      <c r="H9" s="50">
        <f t="shared" si="1"/>
        <v>45787</v>
      </c>
      <c r="I9" s="49">
        <f t="shared" si="2"/>
        <v>45787</v>
      </c>
    </row>
    <row r="10" spans="3:14">
      <c r="C10" s="24" t="s">
        <v>32</v>
      </c>
      <c r="D10" s="25">
        <v>45820</v>
      </c>
      <c r="E10" s="25">
        <v>45838</v>
      </c>
      <c r="F10" s="24">
        <v>2</v>
      </c>
      <c r="G10" s="30">
        <f t="shared" si="0"/>
        <v>13</v>
      </c>
      <c r="H10" s="50">
        <f t="shared" si="1"/>
        <v>45789</v>
      </c>
      <c r="I10" s="49">
        <f t="shared" si="2"/>
        <v>45789</v>
      </c>
    </row>
    <row r="11" spans="3:14">
      <c r="C11" s="24" t="s">
        <v>33</v>
      </c>
      <c r="D11" s="25">
        <v>45823</v>
      </c>
      <c r="E11" s="25">
        <v>45836</v>
      </c>
      <c r="F11" s="24">
        <v>1</v>
      </c>
      <c r="G11" s="30">
        <f t="shared" si="0"/>
        <v>10</v>
      </c>
      <c r="H11" s="50">
        <f t="shared" si="1"/>
        <v>45792</v>
      </c>
      <c r="I11" s="49">
        <f t="shared" si="2"/>
        <v>45792</v>
      </c>
    </row>
    <row r="12" spans="3:14">
      <c r="C12" s="24" t="s">
        <v>34</v>
      </c>
      <c r="D12" s="25">
        <v>45826</v>
      </c>
      <c r="E12" s="25">
        <v>45838</v>
      </c>
      <c r="F12" s="24">
        <v>2</v>
      </c>
      <c r="G12" s="30">
        <f t="shared" si="0"/>
        <v>9</v>
      </c>
      <c r="H12" s="50">
        <f t="shared" si="1"/>
        <v>45795</v>
      </c>
      <c r="I12" s="49">
        <f t="shared" si="2"/>
        <v>45795</v>
      </c>
    </row>
    <row r="13" spans="3:14">
      <c r="C13" s="24" t="s">
        <v>35</v>
      </c>
      <c r="D13" s="25">
        <v>45828</v>
      </c>
      <c r="E13" s="25">
        <v>45843</v>
      </c>
      <c r="F13" s="24">
        <v>3</v>
      </c>
      <c r="G13" s="30">
        <f t="shared" si="0"/>
        <v>11</v>
      </c>
      <c r="H13" s="50">
        <f t="shared" si="1"/>
        <v>45797</v>
      </c>
      <c r="I13" s="49">
        <f t="shared" si="2"/>
        <v>45797</v>
      </c>
    </row>
    <row r="14" spans="3:14">
      <c r="C14" s="24" t="s">
        <v>36</v>
      </c>
      <c r="D14" s="25">
        <v>45830</v>
      </c>
      <c r="E14" s="25">
        <v>45848</v>
      </c>
      <c r="F14" s="24">
        <v>1</v>
      </c>
      <c r="G14" s="30">
        <f>NETWORKDAYS(D14,E14)</f>
        <v>14</v>
      </c>
      <c r="H14" s="50">
        <f t="shared" si="1"/>
        <v>45799</v>
      </c>
      <c r="I14" s="49">
        <f t="shared" si="2"/>
        <v>45799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3:L19"/>
  <sheetViews>
    <sheetView workbookViewId="0">
      <selection activeCell="I14" sqref="I14:I17"/>
    </sheetView>
  </sheetViews>
  <sheetFormatPr defaultColWidth="9.1796875" defaultRowHeight="14.5"/>
  <cols>
    <col min="1" max="1" width="11.7265625" style="11" customWidth="1"/>
    <col min="2" max="2" width="25.81640625" style="11" customWidth="1"/>
    <col min="3" max="3" width="13.81640625" style="11" customWidth="1"/>
    <col min="4" max="5" width="9.1796875" style="11"/>
    <col min="6" max="6" width="20.08984375" style="11" bestFit="1" customWidth="1"/>
    <col min="7" max="8" width="9.1796875" style="11"/>
    <col min="9" max="9" width="14.1796875" style="11" customWidth="1"/>
    <col min="10" max="10" width="10.54296875" style="11" customWidth="1"/>
    <col min="11" max="16384" width="9.1796875" style="11"/>
  </cols>
  <sheetData>
    <row r="3" spans="2:12" ht="15.5">
      <c r="B3" s="36" t="s">
        <v>15</v>
      </c>
      <c r="C3" s="36" t="s">
        <v>11</v>
      </c>
      <c r="D3" s="37" t="s">
        <v>16</v>
      </c>
      <c r="E3" s="38" t="s">
        <v>10</v>
      </c>
      <c r="F3" s="38" t="s">
        <v>17</v>
      </c>
      <c r="H3" s="36" t="s">
        <v>15</v>
      </c>
      <c r="I3" s="37" t="s">
        <v>18</v>
      </c>
      <c r="J3" s="37" t="s">
        <v>19</v>
      </c>
      <c r="K3" s="37" t="s">
        <v>12</v>
      </c>
      <c r="L3" s="37" t="s">
        <v>20</v>
      </c>
    </row>
    <row r="4" spans="2:12">
      <c r="B4" s="39">
        <v>43842</v>
      </c>
      <c r="C4" s="40">
        <f>DAY(B4)</f>
        <v>12</v>
      </c>
      <c r="D4" s="40">
        <f>MONTH(B4)</f>
        <v>1</v>
      </c>
      <c r="E4" s="40">
        <f>YEAR(B4)</f>
        <v>2020</v>
      </c>
      <c r="F4" s="39">
        <f>DATE(E4,D4,C4)</f>
        <v>43842</v>
      </c>
      <c r="H4" s="44">
        <v>0.20025462962963</v>
      </c>
      <c r="I4" s="40">
        <f>HOUR(H4)</f>
        <v>4</v>
      </c>
      <c r="J4" s="40">
        <f>MINUTE(H4)</f>
        <v>48</v>
      </c>
      <c r="K4" s="40">
        <f>SECOND(H4)</f>
        <v>22</v>
      </c>
      <c r="L4" s="45">
        <f>TIME(I4,J4,K4)</f>
        <v>0.20025462962962962</v>
      </c>
    </row>
    <row r="5" spans="2:12">
      <c r="B5" s="41">
        <v>43953</v>
      </c>
      <c r="C5" s="40">
        <f t="shared" ref="C5:C7" si="0">DAY(B5)</f>
        <v>2</v>
      </c>
      <c r="D5" s="40">
        <f t="shared" ref="D5:D7" si="1">MONTH(B5)</f>
        <v>5</v>
      </c>
      <c r="E5" s="40">
        <f t="shared" ref="E5:E7" si="2">YEAR(B5)</f>
        <v>2020</v>
      </c>
      <c r="F5" s="39">
        <f t="shared" ref="F5:F7" si="3">DATE(E5,D5,C5)</f>
        <v>43953</v>
      </c>
      <c r="H5" s="44">
        <v>0.241921296296296</v>
      </c>
      <c r="I5" s="40">
        <f t="shared" ref="I5:I8" si="4">HOUR(H5)</f>
        <v>5</v>
      </c>
      <c r="J5" s="40">
        <f t="shared" ref="J5:J8" si="5">MINUTE(H5)</f>
        <v>48</v>
      </c>
      <c r="K5" s="40">
        <f t="shared" ref="K5:K8" si="6">SECOND(H5)</f>
        <v>22</v>
      </c>
      <c r="L5" s="45">
        <f t="shared" ref="L5:L8" si="7">TIME(I5,J5,K5)</f>
        <v>0.2419212962962963</v>
      </c>
    </row>
    <row r="6" spans="2:12">
      <c r="B6" s="42">
        <v>43831</v>
      </c>
      <c r="C6" s="40">
        <f t="shared" si="0"/>
        <v>1</v>
      </c>
      <c r="D6" s="40">
        <f t="shared" si="1"/>
        <v>1</v>
      </c>
      <c r="E6" s="40">
        <f t="shared" si="2"/>
        <v>2020</v>
      </c>
      <c r="F6" s="39">
        <f t="shared" si="3"/>
        <v>43831</v>
      </c>
      <c r="H6" s="44">
        <v>0.28358796296296301</v>
      </c>
      <c r="I6" s="40">
        <f t="shared" si="4"/>
        <v>6</v>
      </c>
      <c r="J6" s="40">
        <f t="shared" si="5"/>
        <v>48</v>
      </c>
      <c r="K6" s="40">
        <f t="shared" si="6"/>
        <v>22</v>
      </c>
      <c r="L6" s="45">
        <f t="shared" si="7"/>
        <v>0.28358796296296296</v>
      </c>
    </row>
    <row r="7" spans="2:12">
      <c r="B7" s="43">
        <v>43863</v>
      </c>
      <c r="C7" s="40">
        <f t="shared" si="0"/>
        <v>2</v>
      </c>
      <c r="D7" s="40">
        <f t="shared" si="1"/>
        <v>2</v>
      </c>
      <c r="E7" s="40">
        <f t="shared" si="2"/>
        <v>2020</v>
      </c>
      <c r="F7" s="39">
        <f t="shared" si="3"/>
        <v>43863</v>
      </c>
      <c r="H7" s="44">
        <v>0.32525462962962998</v>
      </c>
      <c r="I7" s="40">
        <f t="shared" si="4"/>
        <v>7</v>
      </c>
      <c r="J7" s="40">
        <f t="shared" si="5"/>
        <v>48</v>
      </c>
      <c r="K7" s="40">
        <f t="shared" si="6"/>
        <v>22</v>
      </c>
      <c r="L7" s="45">
        <f t="shared" si="7"/>
        <v>0.32525462962962964</v>
      </c>
    </row>
    <row r="8" spans="2:12">
      <c r="B8" s="12"/>
      <c r="C8" s="12"/>
      <c r="D8" s="12"/>
      <c r="E8" s="12"/>
      <c r="F8" s="13"/>
      <c r="H8" s="44">
        <v>0.366921296296296</v>
      </c>
      <c r="I8" s="40">
        <f t="shared" si="4"/>
        <v>8</v>
      </c>
      <c r="J8" s="40">
        <f t="shared" si="5"/>
        <v>48</v>
      </c>
      <c r="K8" s="40">
        <f t="shared" si="6"/>
        <v>22</v>
      </c>
      <c r="L8" s="45">
        <f t="shared" si="7"/>
        <v>0.36692129629629627</v>
      </c>
    </row>
    <row r="9" spans="2:12">
      <c r="H9" s="14"/>
      <c r="I9" s="14"/>
      <c r="J9" s="14"/>
      <c r="K9" s="14"/>
      <c r="L9" s="14"/>
    </row>
    <row r="13" spans="2:12" ht="31">
      <c r="C13" s="36" t="s">
        <v>13</v>
      </c>
      <c r="D13" s="73" t="s">
        <v>14</v>
      </c>
      <c r="E13" s="74"/>
      <c r="F13" s="47" t="s">
        <v>79</v>
      </c>
      <c r="G13" s="75" t="s">
        <v>21</v>
      </c>
      <c r="H13" s="76"/>
      <c r="I13" s="48" t="s">
        <v>85</v>
      </c>
    </row>
    <row r="14" spans="2:12">
      <c r="C14" s="39">
        <v>43842</v>
      </c>
      <c r="D14" s="77">
        <v>4</v>
      </c>
      <c r="E14" s="78"/>
      <c r="F14" s="46">
        <v>45818</v>
      </c>
      <c r="G14" s="79">
        <f>EDATE(C14,D14)</f>
        <v>43963</v>
      </c>
      <c r="H14" s="80"/>
      <c r="I14" s="60">
        <f>NETWORKDAYS(C14,F14)</f>
        <v>1412</v>
      </c>
    </row>
    <row r="15" spans="2:12">
      <c r="C15" s="39">
        <v>43843</v>
      </c>
      <c r="D15" s="77">
        <v>-3</v>
      </c>
      <c r="E15" s="78"/>
      <c r="F15" s="46">
        <v>45822</v>
      </c>
      <c r="G15" s="79">
        <f t="shared" ref="G15:G17" si="8">EDATE(C15,D15)</f>
        <v>43751</v>
      </c>
      <c r="H15" s="80"/>
      <c r="I15" s="60">
        <f t="shared" ref="I15:I17" si="9">NETWORKDAYS(C15,F15)</f>
        <v>1415</v>
      </c>
    </row>
    <row r="16" spans="2:12">
      <c r="C16" s="39">
        <v>43844</v>
      </c>
      <c r="D16" s="77">
        <v>4</v>
      </c>
      <c r="E16" s="78"/>
      <c r="F16" s="46">
        <v>45828</v>
      </c>
      <c r="G16" s="79">
        <f t="shared" si="8"/>
        <v>43965</v>
      </c>
      <c r="H16" s="80"/>
      <c r="I16" s="60">
        <f t="shared" si="9"/>
        <v>1419</v>
      </c>
    </row>
    <row r="17" spans="3:9">
      <c r="C17" s="39">
        <v>43845</v>
      </c>
      <c r="D17" s="77">
        <v>2</v>
      </c>
      <c r="E17" s="78"/>
      <c r="F17" s="46">
        <v>45830</v>
      </c>
      <c r="G17" s="79">
        <f t="shared" si="8"/>
        <v>43905</v>
      </c>
      <c r="H17" s="80"/>
      <c r="I17" s="60">
        <f t="shared" si="9"/>
        <v>1418</v>
      </c>
    </row>
    <row r="18" spans="3:9">
      <c r="C18" s="12"/>
      <c r="D18" s="81"/>
      <c r="E18" s="82"/>
      <c r="F18" s="25"/>
      <c r="G18" s="83"/>
      <c r="H18" s="84"/>
    </row>
    <row r="19" spans="3:9">
      <c r="F19" s="25"/>
    </row>
  </sheetData>
  <mergeCells count="12">
    <mergeCell ref="D16:E16"/>
    <mergeCell ref="G16:H16"/>
    <mergeCell ref="D17:E17"/>
    <mergeCell ref="G17:H17"/>
    <mergeCell ref="D18:E18"/>
    <mergeCell ref="G18:H18"/>
    <mergeCell ref="D13:E13"/>
    <mergeCell ref="G13:H13"/>
    <mergeCell ref="D14:E14"/>
    <mergeCell ref="G14:H14"/>
    <mergeCell ref="D15:E15"/>
    <mergeCell ref="G15:H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06EB-237B-482F-9C3E-746FEB721174}">
  <sheetPr codeName="Sheet9"/>
  <dimension ref="A1:X38"/>
  <sheetViews>
    <sheetView tabSelected="1" zoomScale="70" zoomScaleNormal="70" workbookViewId="0">
      <selection activeCell="D18" sqref="D18"/>
    </sheetView>
  </sheetViews>
  <sheetFormatPr defaultRowHeight="14.5"/>
  <cols>
    <col min="1" max="1" width="12.26953125" customWidth="1"/>
    <col min="2" max="2" width="13" customWidth="1"/>
    <col min="3" max="3" width="14.1796875" customWidth="1"/>
    <col min="4" max="4" width="14" customWidth="1"/>
    <col min="6" max="6" width="11.1796875" customWidth="1"/>
    <col min="7" max="7" width="17.08984375" customWidth="1"/>
    <col min="9" max="9" width="14.1796875" bestFit="1" customWidth="1"/>
    <col min="15" max="15" width="10.54296875" customWidth="1"/>
    <col min="16" max="16" width="15.81640625" bestFit="1" customWidth="1"/>
    <col min="19" max="19" width="13.6328125" customWidth="1"/>
    <col min="20" max="20" width="16.36328125" customWidth="1"/>
  </cols>
  <sheetData>
    <row r="1" spans="1:24" ht="26">
      <c r="A1" s="3" t="s">
        <v>22</v>
      </c>
    </row>
    <row r="3" spans="1:24" ht="29">
      <c r="A3" s="1"/>
      <c r="B3" s="23" t="s">
        <v>23</v>
      </c>
      <c r="C3" s="23" t="s">
        <v>88</v>
      </c>
      <c r="D3" s="23" t="s">
        <v>89</v>
      </c>
      <c r="E3" s="23" t="s">
        <v>90</v>
      </c>
      <c r="F3" s="23" t="s">
        <v>26</v>
      </c>
      <c r="G3" s="23" t="s">
        <v>25</v>
      </c>
      <c r="H3" s="23" t="s">
        <v>91</v>
      </c>
      <c r="J3" s="16" t="s">
        <v>102</v>
      </c>
      <c r="X3" s="16" t="s">
        <v>119</v>
      </c>
    </row>
    <row r="4" spans="1:24">
      <c r="A4" s="2"/>
      <c r="B4" s="24" t="s">
        <v>27</v>
      </c>
      <c r="C4" s="24">
        <v>2024</v>
      </c>
      <c r="D4" s="24">
        <v>6</v>
      </c>
      <c r="E4" s="24">
        <v>12</v>
      </c>
      <c r="F4" s="33">
        <v>0.34409722222222222</v>
      </c>
      <c r="G4" s="25">
        <v>45491</v>
      </c>
      <c r="H4" s="24">
        <v>1</v>
      </c>
      <c r="J4" s="26"/>
      <c r="X4" s="26"/>
    </row>
    <row r="5" spans="1:24">
      <c r="A5" s="2"/>
      <c r="B5" s="24" t="s">
        <v>28</v>
      </c>
      <c r="C5" s="24">
        <v>2024</v>
      </c>
      <c r="D5" s="24">
        <v>5</v>
      </c>
      <c r="E5" s="24">
        <v>28</v>
      </c>
      <c r="F5" s="33">
        <v>0.40625</v>
      </c>
      <c r="G5" s="25">
        <v>45478</v>
      </c>
      <c r="H5" s="24">
        <v>2</v>
      </c>
      <c r="J5" s="27" t="s">
        <v>92</v>
      </c>
      <c r="S5" s="64">
        <f ca="1">TODAY()</f>
        <v>46211</v>
      </c>
      <c r="X5" s="34" t="s">
        <v>103</v>
      </c>
    </row>
    <row r="6" spans="1:24">
      <c r="A6" s="2"/>
      <c r="B6" s="24" t="s">
        <v>29</v>
      </c>
      <c r="C6" s="24">
        <v>2024</v>
      </c>
      <c r="D6" s="24">
        <v>4</v>
      </c>
      <c r="E6" s="24">
        <v>15</v>
      </c>
      <c r="F6" s="33">
        <v>0.3127314814814815</v>
      </c>
      <c r="G6" s="25">
        <v>45463</v>
      </c>
      <c r="H6" s="24">
        <v>3</v>
      </c>
      <c r="J6" s="26"/>
      <c r="X6" s="26"/>
    </row>
    <row r="7" spans="1:24">
      <c r="A7" s="2"/>
      <c r="B7" s="24" t="s">
        <v>30</v>
      </c>
      <c r="C7" s="24">
        <v>2024</v>
      </c>
      <c r="D7" s="24">
        <v>3</v>
      </c>
      <c r="E7" s="24">
        <v>10</v>
      </c>
      <c r="F7" s="33">
        <v>0.41666666666666669</v>
      </c>
      <c r="G7" s="25">
        <v>45430</v>
      </c>
      <c r="H7" s="24">
        <v>4</v>
      </c>
      <c r="J7" s="27" t="s">
        <v>93</v>
      </c>
      <c r="S7" s="65">
        <f ca="1">NOW()</f>
        <v>46211.810369444443</v>
      </c>
      <c r="X7" s="34" t="s">
        <v>104</v>
      </c>
    </row>
    <row r="8" spans="1:24">
      <c r="B8" s="24" t="s">
        <v>31</v>
      </c>
      <c r="C8" s="24">
        <v>2024</v>
      </c>
      <c r="D8" s="24">
        <v>2</v>
      </c>
      <c r="E8" s="24">
        <v>25</v>
      </c>
      <c r="F8" s="33">
        <v>0.2644097222222222</v>
      </c>
      <c r="G8" s="25">
        <v>45414</v>
      </c>
      <c r="H8" s="24">
        <v>2</v>
      </c>
      <c r="J8" s="26"/>
      <c r="X8" s="26"/>
    </row>
    <row r="9" spans="1:24">
      <c r="B9" s="24" t="s">
        <v>32</v>
      </c>
      <c r="C9" s="24">
        <v>2024</v>
      </c>
      <c r="D9" s="24">
        <v>1</v>
      </c>
      <c r="E9" s="24">
        <v>5</v>
      </c>
      <c r="F9" s="33">
        <v>0.46527777777777773</v>
      </c>
      <c r="G9" s="25">
        <v>45361</v>
      </c>
      <c r="H9" s="24">
        <v>1</v>
      </c>
      <c r="J9" s="27" t="s">
        <v>94</v>
      </c>
      <c r="S9" s="66">
        <f>YEAR(G4)</f>
        <v>2024</v>
      </c>
      <c r="X9" s="34" t="s">
        <v>105</v>
      </c>
    </row>
    <row r="10" spans="1:24">
      <c r="B10" s="24" t="s">
        <v>33</v>
      </c>
      <c r="C10" s="24">
        <v>2023</v>
      </c>
      <c r="D10" s="24">
        <v>12</v>
      </c>
      <c r="E10" s="24">
        <v>15</v>
      </c>
      <c r="F10" s="33">
        <v>0.50017361111111114</v>
      </c>
      <c r="G10" s="25">
        <v>45344</v>
      </c>
      <c r="H10" s="24">
        <v>3</v>
      </c>
      <c r="I10" s="4"/>
      <c r="J10" s="26"/>
      <c r="X10" s="27" t="s">
        <v>106</v>
      </c>
    </row>
    <row r="11" spans="1:24">
      <c r="B11" s="24" t="s">
        <v>34</v>
      </c>
      <c r="C11" s="24">
        <v>2023</v>
      </c>
      <c r="D11" s="24">
        <v>11</v>
      </c>
      <c r="E11" s="24">
        <v>1</v>
      </c>
      <c r="F11" s="33">
        <v>0.37893518518518521</v>
      </c>
      <c r="G11" s="25">
        <v>45301</v>
      </c>
      <c r="H11" s="24">
        <v>2</v>
      </c>
      <c r="J11" s="27" t="s">
        <v>95</v>
      </c>
      <c r="S11" s="67">
        <f>DATE(C4,D4,E4)</f>
        <v>45455</v>
      </c>
      <c r="X11" s="26"/>
    </row>
    <row r="12" spans="1:24">
      <c r="B12" s="24" t="s">
        <v>35</v>
      </c>
      <c r="C12" s="24">
        <v>2023</v>
      </c>
      <c r="D12" s="24">
        <v>10</v>
      </c>
      <c r="E12" s="24">
        <v>20</v>
      </c>
      <c r="F12" s="33">
        <v>0.3263888888888889</v>
      </c>
      <c r="G12" s="25">
        <v>45290</v>
      </c>
      <c r="H12" s="24">
        <v>2</v>
      </c>
      <c r="I12" s="4"/>
      <c r="J12" s="26"/>
      <c r="X12" s="34" t="s">
        <v>107</v>
      </c>
    </row>
    <row r="13" spans="1:24">
      <c r="B13" s="24" t="s">
        <v>36</v>
      </c>
      <c r="C13" s="24">
        <v>2023</v>
      </c>
      <c r="D13" s="24">
        <v>9</v>
      </c>
      <c r="E13" s="24">
        <v>30</v>
      </c>
      <c r="F13" s="33">
        <v>0.35792824074074076</v>
      </c>
      <c r="G13" s="25">
        <v>45270</v>
      </c>
      <c r="H13" s="24">
        <v>1</v>
      </c>
      <c r="J13" s="27" t="s">
        <v>96</v>
      </c>
      <c r="S13" s="68" t="str">
        <f>TEXT(S11,"mmmm")</f>
        <v>June</v>
      </c>
      <c r="X13" s="27" t="s">
        <v>108</v>
      </c>
    </row>
    <row r="14" spans="1:24">
      <c r="J14" s="26"/>
      <c r="X14" s="26"/>
    </row>
    <row r="15" spans="1:24">
      <c r="I15" s="61"/>
      <c r="J15" s="27" t="s">
        <v>97</v>
      </c>
      <c r="X15" s="34" t="s">
        <v>109</v>
      </c>
    </row>
    <row r="16" spans="1:24">
      <c r="A16" s="85" t="s">
        <v>127</v>
      </c>
      <c r="B16" s="85"/>
      <c r="D16" s="85" t="s">
        <v>128</v>
      </c>
      <c r="E16" s="85"/>
      <c r="J16" s="26"/>
      <c r="X16" s="26"/>
    </row>
    <row r="17" spans="1:24">
      <c r="A17" s="49">
        <f t="shared" ref="A17:A26" si="0">DATE(C4,D4,E4)</f>
        <v>45455</v>
      </c>
      <c r="B17" s="49">
        <f t="shared" ref="B17:B26" si="1">EDATE(A17,H4)</f>
        <v>45485</v>
      </c>
      <c r="D17" s="49">
        <f>DATE(C4,D4,E4)</f>
        <v>45455</v>
      </c>
      <c r="E17">
        <f t="shared" ref="E17:E26" si="2">NETWORKDAYS(D17,G4)</f>
        <v>27</v>
      </c>
      <c r="I17" s="63"/>
      <c r="J17" s="27" t="s">
        <v>98</v>
      </c>
      <c r="X17" s="34" t="s">
        <v>110</v>
      </c>
    </row>
    <row r="18" spans="1:24">
      <c r="A18" s="49">
        <f t="shared" si="0"/>
        <v>45440</v>
      </c>
      <c r="B18" s="49">
        <f t="shared" si="1"/>
        <v>45501</v>
      </c>
      <c r="D18" s="49">
        <f t="shared" ref="D17:D26" si="3">DATE(C5,D5,E5)</f>
        <v>45440</v>
      </c>
      <c r="E18">
        <f t="shared" si="2"/>
        <v>29</v>
      </c>
      <c r="J18" s="26"/>
      <c r="X18" s="27" t="s">
        <v>111</v>
      </c>
    </row>
    <row r="19" spans="1:24">
      <c r="A19" s="49">
        <f t="shared" si="0"/>
        <v>45397</v>
      </c>
      <c r="B19" s="49">
        <f t="shared" si="1"/>
        <v>45488</v>
      </c>
      <c r="D19" s="49">
        <f t="shared" si="3"/>
        <v>45397</v>
      </c>
      <c r="E19">
        <f t="shared" si="2"/>
        <v>49</v>
      </c>
      <c r="J19" s="27" t="s">
        <v>99</v>
      </c>
      <c r="S19" s="68">
        <f>HOUR(F4)</f>
        <v>8</v>
      </c>
      <c r="X19" s="26"/>
    </row>
    <row r="20" spans="1:24">
      <c r="A20" s="49">
        <f t="shared" si="0"/>
        <v>45361</v>
      </c>
      <c r="B20" s="49">
        <f t="shared" si="1"/>
        <v>45483</v>
      </c>
      <c r="D20" s="49">
        <f t="shared" si="3"/>
        <v>45361</v>
      </c>
      <c r="E20">
        <f t="shared" si="2"/>
        <v>50</v>
      </c>
      <c r="J20" s="26"/>
      <c r="X20" s="34" t="s">
        <v>112</v>
      </c>
    </row>
    <row r="21" spans="1:24">
      <c r="A21" s="49">
        <f t="shared" si="0"/>
        <v>45347</v>
      </c>
      <c r="B21" s="49">
        <f t="shared" si="1"/>
        <v>45407</v>
      </c>
      <c r="D21" s="49">
        <f t="shared" si="3"/>
        <v>45347</v>
      </c>
      <c r="E21">
        <f t="shared" si="2"/>
        <v>49</v>
      </c>
      <c r="J21" s="27" t="s">
        <v>100</v>
      </c>
      <c r="S21" s="68">
        <f>MINUTE(F5)</f>
        <v>45</v>
      </c>
      <c r="X21" s="26"/>
    </row>
    <row r="22" spans="1:24">
      <c r="A22" s="49">
        <f t="shared" si="0"/>
        <v>45296</v>
      </c>
      <c r="B22" s="49">
        <f t="shared" si="1"/>
        <v>45327</v>
      </c>
      <c r="D22" s="49">
        <f t="shared" si="3"/>
        <v>45296</v>
      </c>
      <c r="E22">
        <f t="shared" si="2"/>
        <v>46</v>
      </c>
      <c r="J22" s="26"/>
      <c r="X22" s="34" t="s">
        <v>113</v>
      </c>
    </row>
    <row r="23" spans="1:24">
      <c r="A23" s="49">
        <f t="shared" si="0"/>
        <v>45275</v>
      </c>
      <c r="B23" s="49">
        <f t="shared" si="1"/>
        <v>45366</v>
      </c>
      <c r="D23" s="49">
        <f t="shared" si="3"/>
        <v>45275</v>
      </c>
      <c r="E23">
        <f t="shared" si="2"/>
        <v>50</v>
      </c>
      <c r="J23" s="27" t="s">
        <v>101</v>
      </c>
      <c r="S23" s="68">
        <f>SECOND(F6)</f>
        <v>20</v>
      </c>
      <c r="X23" s="27" t="s">
        <v>114</v>
      </c>
    </row>
    <row r="24" spans="1:24">
      <c r="A24" s="49">
        <f t="shared" si="0"/>
        <v>45231</v>
      </c>
      <c r="B24" s="49">
        <f t="shared" si="1"/>
        <v>45292</v>
      </c>
      <c r="D24" s="49">
        <f t="shared" si="3"/>
        <v>45231</v>
      </c>
      <c r="E24">
        <f t="shared" si="2"/>
        <v>51</v>
      </c>
      <c r="X24" s="26"/>
    </row>
    <row r="25" spans="1:24">
      <c r="A25" s="49">
        <f t="shared" si="0"/>
        <v>45219</v>
      </c>
      <c r="B25" s="49">
        <f t="shared" si="1"/>
        <v>45280</v>
      </c>
      <c r="D25" s="49">
        <f t="shared" si="3"/>
        <v>45219</v>
      </c>
      <c r="E25">
        <f t="shared" si="2"/>
        <v>51</v>
      </c>
      <c r="X25" s="34" t="s">
        <v>115</v>
      </c>
    </row>
    <row r="26" spans="1:24">
      <c r="A26" s="49">
        <f t="shared" si="0"/>
        <v>45199</v>
      </c>
      <c r="B26" s="49">
        <f t="shared" si="1"/>
        <v>45229</v>
      </c>
      <c r="D26" s="49">
        <f t="shared" si="3"/>
        <v>45199</v>
      </c>
      <c r="E26">
        <f t="shared" si="2"/>
        <v>50</v>
      </c>
      <c r="X26" s="27" t="s">
        <v>116</v>
      </c>
    </row>
    <row r="27" spans="1:24">
      <c r="C27" s="62"/>
      <c r="X27" s="26"/>
    </row>
    <row r="28" spans="1:24">
      <c r="C28" s="62"/>
      <c r="I28" s="69"/>
      <c r="X28" s="34" t="s">
        <v>117</v>
      </c>
    </row>
    <row r="29" spans="1:24">
      <c r="C29" s="62"/>
      <c r="I29" s="49"/>
      <c r="X29" s="27" t="s">
        <v>118</v>
      </c>
    </row>
    <row r="30" spans="1:24">
      <c r="A30" s="49"/>
      <c r="C30" s="62"/>
      <c r="I30" s="49"/>
    </row>
    <row r="31" spans="1:24">
      <c r="A31" s="49"/>
      <c r="C31" s="62"/>
      <c r="I31" s="49"/>
    </row>
    <row r="32" spans="1:24">
      <c r="C32" s="62"/>
      <c r="I32" s="49"/>
    </row>
    <row r="33" spans="3:9">
      <c r="C33" s="62"/>
      <c r="I33" s="49"/>
    </row>
    <row r="34" spans="3:9">
      <c r="C34" s="62"/>
      <c r="I34" s="49"/>
    </row>
    <row r="35" spans="3:9">
      <c r="C35" s="62"/>
      <c r="I35" s="49"/>
    </row>
    <row r="36" spans="3:9">
      <c r="C36" s="62"/>
      <c r="I36" s="49"/>
    </row>
    <row r="37" spans="3:9">
      <c r="C37" s="62"/>
      <c r="I37" s="49"/>
    </row>
    <row r="38" spans="3:9">
      <c r="I38" s="49"/>
    </row>
  </sheetData>
  <mergeCells count="2">
    <mergeCell ref="D16:E16"/>
    <mergeCell ref="A16:B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Intro</vt:lpstr>
      <vt:lpstr>DESCRIPTION</vt:lpstr>
      <vt:lpstr>DATE,DAY,TODAY,NOW</vt:lpstr>
      <vt:lpstr>DESCRIPTION2</vt:lpstr>
      <vt:lpstr>DAY,YEAR,HOUR,MINUTE,..</vt:lpstr>
      <vt:lpstr>DESCRIPTION3 </vt:lpstr>
      <vt:lpstr>NETWORKDAY,EDATE</vt:lpstr>
      <vt:lpstr>OVERALL</vt:lpstr>
      <vt:lpstr>EXCERCISE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</dc:creator>
  <cp:lastModifiedBy>abisinancp1234@gmail.com</cp:lastModifiedBy>
  <dcterms:created xsi:type="dcterms:W3CDTF">2025-01-02T05:42:00Z</dcterms:created>
  <dcterms:modified xsi:type="dcterms:W3CDTF">2026-07-08T13:56:59Z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2B390C83EF4D4E3C89DC1F0AC00A5F8D_11</vt:lpwstr>
  </property>
  <property fmtid="{D5CDD505-2E9C-101B-9397-08002B2CF9AE}" pid="3" name="KSOProductBuildVer">
    <vt:lpwstr>1033-12.2.0.18639</vt:lpwstr>
  </property>
</Properties>
</file>